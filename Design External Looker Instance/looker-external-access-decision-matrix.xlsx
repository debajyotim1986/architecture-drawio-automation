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ision Matrix" sheetId="2" state="visible" r:id="rId4"/>
    <sheet name="Scoring Model" sheetId="3" state="visible" r:id="rId5"/>
    <sheet name="Golden Pat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<sst xmlns="http://schemas.openxmlformats.org/spreadsheetml/2006/main" count="547" uniqueCount="345">
  <si>
    <t xml:space="preserve">Decision Matrix — External User Access to Looker on GKE</t>
  </si>
  <si>
    <t xml:space="preserve">Companion to: looker-external-access-architecture.html and looker-external-access-decision-trees.md (Mermaid). Option IDs match across all three.</t>
  </si>
  <si>
    <t xml:space="preserve">How to use this workbook with the central architect team:</t>
  </si>
  <si>
    <t xml:space="preserve">1. 'Decision Matrix' lists every hop, every option per hop, pros/cons, security posture, cost, complexity, and our recommendation.</t>
  </si>
  <si>
    <t xml:space="preserve">2. The team fills the YELLOW 'Team Decision' and 'Owner / Notes' columns per row (Approve / Reject / Needs driver).</t>
  </si>
  <si>
    <t xml:space="preserve">3. 'Scoring Model' holds weighted scorecards for the four contested decisions (D3, D5, D6, D7). Adjust the YELLOW weights and 1-5 scores; the weighted totals recalculate via formulas.</t>
  </si>
  <si>
    <t xml:space="preserve">4. 'Golden Path' summarizes the recommended end-to-end selection in one view.</t>
  </si>
  <si>
    <t xml:space="preserve">Legend (Recommendation column):</t>
  </si>
  <si>
    <t xml:space="preserve">Recommended = our default choice · Alternative = viable, pick with a reason · Conditional = only with the named driver · Not recommended = rejected with rationale</t>
  </si>
  <si>
    <t xml:space="preserve">Color code: green = Recommended · amber = Alternative/Conditional · red = Not recommended · yellow fill = cells for the architect team to edit.</t>
  </si>
  <si>
    <t xml:space="preserve">Assumptions: Apigee X with external env group behind Global External HTTPS LB; Looker runs as a container image in GKE (no user access via GCP console); ID &amp; Auth team owns credential validation and JWT issuance. Scores on the Scoring Model sheet are our proposed starting values (source: this engagement's architecture review), not measurements — the team should adjust them.</t>
  </si>
  <si>
    <t xml:space="preserve">Update v1.2 — D1 decided: Akamai fronts the GCP LB (option 1D selected; 1A retained as locked origin). Validated workable with 4 mandatory adjustments: origin lock, cache bypass on auth/api paths, True-Client-IP for rate limiting, split WAF ownership. See Decision Matrix rows 1A/1D and Golden Path.</t>
  </si>
  <si>
    <t xml:space="preserve">Update v1.3 — Akamai and Cloud Armor removed: direct Apigee external gateway exposure via LB + PSC NEG (SpikeArrest is now the only abuse control — flagged). Auth path finalized as a proxy chain: external proxy → Apigee internal proxy → ID&amp;A API → OSIS database (credential store). Note: a browser cannot call an internal proxy directly — the external proxy chains to it.</t>
  </si>
  <si>
    <t xml:space="preserve">Update v1.3.1 — added option 1E (External L4 LB: passthrough NLB / TCP-SSL Proxy) to the H1 block and relabeled 1A as the L7 Application LB, per review question. Verdict: L4 is not viable here — Apigee X external exposure requires the L7 HTTPS Application LB with a PSC NEG backend, and L4 would also forfeit HTTP-aware routing, L7 WAF rules, and managed certs.</t>
  </si>
  <si>
    <t xml:space="preserve">Hop</t>
  </si>
  <si>
    <t xml:space="preserve">Decision Point (hop-to-hop connection)</t>
  </si>
  <si>
    <t xml:space="preserve">Opt ID</t>
  </si>
  <si>
    <t xml:space="preserve">Option</t>
  </si>
  <si>
    <t xml:space="preserve">How it works</t>
  </si>
  <si>
    <t xml:space="preserve">Pros</t>
  </si>
  <si>
    <t xml:space="preserve">Cons / Risks</t>
  </si>
  <si>
    <t xml:space="preserve">Security posture</t>
  </si>
  <si>
    <t xml:space="preserve">Cost</t>
  </si>
  <si>
    <t xml:space="preserve">Complexity</t>
  </si>
  <si>
    <t xml:space="preserve">Recommendation</t>
  </si>
  <si>
    <t xml:space="preserve">Team Decision</t>
  </si>
  <si>
    <t xml:space="preserve">Owner / Notes</t>
  </si>
  <si>
    <t xml:space="preserve">H1</t>
  </si>
  <si>
    <t xml:space="preserve">D1: User → Internet entry point</t>
  </si>
  <si>
    <t xml:space="preserve">1A</t>
  </si>
  <si>
    <t xml:space="preserve">L7 Global External HTTPS Load Balancer (Application LB) + PSC NEG → Apigee</t>
  </si>
  <si>
    <t xml:space="preserve">Layer-7 Application LB: anycast IP, Google-managed cert, HTTP-aware routing; backend is a PSC NEG to the Apigee instance. TLS terminates at the LB. (Cloud Armor attachable here — currently removed per v1.3.)</t>
  </si>
  <si>
    <t xml:space="preserve">Single hardened public surface; WAF + DDoS at edge; global latency; managed certs</t>
  </si>
  <si>
    <t xml:space="preserve">v1.3: Cloud Armor removed per decision — Apigee SpikeArrest becomes the ONLY brute-force control on /auth/login; Cloud Armor can be re-attached to the same LB later with zero redesign</t>
  </si>
  <si>
    <t xml:space="preserve">Strong — edge filtering before gateway</t>
  </si>
  <si>
    <t xml:space="preserve">Low</t>
  </si>
  <si>
    <t xml:space="preserve">SELECTED (v1.3, without Cloud Armor — flagged)</t>
  </si>
  <si>
    <t xml:space="preserve">1B</t>
  </si>
  <si>
    <t xml:space="preserve">Apigee default Google-managed hostname (no custom LB/WAF)</t>
  </si>
  <si>
    <t xml:space="preserve">Expose the *.apigee.dev style endpoint directly</t>
  </si>
  <si>
    <t xml:space="preserve">Zero setup</t>
  </si>
  <si>
    <t xml:space="preserve">No Cloud Armor, no custom domain policy control, weak brand trust</t>
  </si>
  <si>
    <t xml:space="preserve">Weak — no WAF layer</t>
  </si>
  <si>
    <t xml:space="preserve">Lowest</t>
  </si>
  <si>
    <t xml:space="preserve">Not recommended</t>
  </si>
  <si>
    <t xml:space="preserve">1C</t>
  </si>
  <si>
    <t xml:space="preserve">Regional External ALB + Cloud Armor</t>
  </si>
  <si>
    <t xml:space="preserve">Regional LB instead of global</t>
  </si>
  <si>
    <t xml:space="preserve">Meets strict data-residency / regional-only mandates</t>
  </si>
  <si>
    <t xml:space="preserve">Loses global anycast performance; regional failover to design</t>
  </si>
  <si>
    <t xml:space="preserve">Strong within region</t>
  </si>
  <si>
    <t xml:space="preserve">Conditional</t>
  </si>
  <si>
    <t xml:space="preserve">1D</t>
  </si>
  <si>
    <t xml:space="preserve">3rd-party CDN/WAF (Cloudflare/Akamai) in front of GCP LB</t>
  </si>
  <si>
    <t xml:space="preserve">Enterprise WAF terminates first, forwards to GCP LB</t>
  </si>
  <si>
    <t xml:space="preserve">Reuses enterprise WAF standard, bot mgmt maturity</t>
  </si>
  <si>
    <t xml:space="preserve">Two control planes; MANDATORY: origin lock (Cloud Armor allows only Akamai Site Shield IPs + shared-secret header), cache bypass on /auth/* and /api/*, True-Client-IP for per-IP limits, split WAF ownership</t>
  </si>
  <si>
    <t xml:space="preserve">Strong but split ownership</t>
  </si>
  <si>
    <t xml:space="preserve">Medium</t>
  </si>
  <si>
    <t xml:space="preserve">Deselected (v1.3 — Akamai removed)</t>
  </si>
  <si>
    <t xml:space="preserve">1E</t>
  </si>
  <si>
    <t xml:space="preserve">L4 External Load Balancer (External passthrough Network LB, or TCP/SSL Proxy LB)</t>
  </si>
  <si>
    <t xml:space="preserve">Layer-4: forwards TCP/TLS streams without understanding HTTP. Passthrough NLB hands raw TLS to the backend; TCP/SSL Proxy terminates TCP/TLS but not HTTP.</t>
  </si>
  <si>
    <t xml:space="preserve">Preserves end-to-end TLS to the backend (passthrough); lowest LB latency</t>
  </si>
  <si>
    <t xml:space="preserve">NOT compatible with the PSC NEG pattern used to expose Apigee X — Apigee northbound requires an L7 Application LB. No HTTP-aware routing (paths/headers), no Cloud Armor L7 WAF rules, no managed certs at LB (passthrough), no HTTP-level logging</t>
  </si>
  <si>
    <t xml:space="preserve">Weak for this use case — loses every L7 control</t>
  </si>
  <si>
    <t xml:space="preserve">Not recommended (incompatible with Apigee X exposure)</t>
  </si>
  <si>
    <t xml:space="preserve">H2</t>
  </si>
  <si>
    <t xml:space="preserve">D2: Edge → Login UI hosting</t>
  </si>
  <si>
    <t xml:space="preserve">2A</t>
  </si>
  <si>
    <t xml:space="preserve">GCS bucket + Cloud CDN behind Apigee passthrough</t>
  </si>
  <si>
    <t xml:space="preserve">Apigee /login and /static/** proxies to static bucket via CDN</t>
  </si>
  <si>
    <t xml:space="preserve">No pods to run; cheapest; versioned rollout by bucket path; CDN caching</t>
  </si>
  <si>
    <t xml:space="preserve">Separate deploy target from GKE</t>
  </si>
  <si>
    <t xml:space="preserve">Good — static only, no runtime</t>
  </si>
  <si>
    <t xml:space="preserve">Recommended</t>
  </si>
  <si>
    <t xml:space="preserve">2B</t>
  </si>
  <si>
    <t xml:space="preserve">NGINX pod in GKE behind Apigee passthrough</t>
  </si>
  <si>
    <t xml:space="preserve">Small NGINX deployment serves SPA assets</t>
  </si>
  <si>
    <t xml:space="preserve">One platform (GKE) and one pipeline for UI + API</t>
  </si>
  <si>
    <t xml:space="preserve">Pods to patch/scale for static content</t>
  </si>
  <si>
    <t xml:space="preserve">Good</t>
  </si>
  <si>
    <t xml:space="preserve">Alternative</t>
  </si>
  <si>
    <t xml:space="preserve">2C</t>
  </si>
  <si>
    <t xml:space="preserve">Firebase Hosting behind Apigee</t>
  </si>
  <si>
    <t xml:space="preserve">Firebase serves SPA; Apigee fronts it</t>
  </si>
  <si>
    <t xml:space="preserve">Great DX, instant rollback</t>
  </si>
  <si>
    <t xml:space="preserve">Adds a product outside the core stack; another IAM surface</t>
  </si>
  <si>
    <t xml:space="preserve">2D</t>
  </si>
  <si>
    <t xml:space="preserve">HTML from Apigee AssignMessage policy</t>
  </si>
  <si>
    <t xml:space="preserve">Login page returned as a policy payload</t>
  </si>
  <si>
    <t xml:space="preserve">No hosting at all</t>
  </si>
  <si>
    <t xml:space="preserve">Unmaintainable; no caching; policy bloat; poor UX</t>
  </si>
  <si>
    <t xml:space="preserve">Poor practice</t>
  </si>
  <si>
    <t xml:space="preserve">High to maintain</t>
  </si>
  <si>
    <t xml:space="preserve">H3</t>
  </si>
  <si>
    <t xml:space="preserve">D3: Credential authentication</t>
  </si>
  <si>
    <t xml:space="preserve">3A</t>
  </si>
  <si>
    <t xml:space="preserve">Proxy chain: external proxy → Apigee INTERNAL proxy → ID&amp;A API → OSIS DB (current pattern)</t>
  </si>
  <si>
    <t xml:space="preserve">SPA POSTs /auth/login to the external proxy; Apigee pre-checks (SpikeArrest, threat protection, CAPTCHA); external proxy chains to the internal proxy (never internet-exposed) which fronts the ID&amp;A API; API validates userid/password against the OSIS database; JSON {jwt} returned up the chain</t>
  </si>
  <si>
    <t xml:space="preserve">Matches agreed contract; internal proxy + ID&amp;A API + OSIS never exposed to internet; Apigee adds abuse controls</t>
  </si>
  <si>
    <t xml:space="preserve">Credentials transit your stack (TLS-protected); you own login UX &amp; lockout logic w/ ID team</t>
  </si>
  <si>
    <t xml:space="preserve">Good with 3b pre-checks</t>
  </si>
  <si>
    <t xml:space="preserve">3B</t>
  </si>
  <si>
    <t xml:space="preserve">OIDC Authorization Code + PKCE (IdP-hosted login)</t>
  </si>
  <si>
    <t xml:space="preserve">Browser redirects to IdP; code exchanged for tokens; Apigee validates</t>
  </si>
  <si>
    <t xml:space="preserve">Credentials never touch your stack; MFA/social/SSO for free; industry standard</t>
  </si>
  <si>
    <t xml:space="preserve">Requires ID team to run an OIDC IdP with hosted login page</t>
  </si>
  <si>
    <t xml:space="preserve">Strongest standard</t>
  </si>
  <si>
    <t xml:space="preserve">Low-Med</t>
  </si>
  <si>
    <t xml:space="preserve">3C</t>
  </si>
  <si>
    <t xml:space="preserve">SAML 2.0 federation</t>
  </si>
  <si>
    <t xml:space="preserve">Enterprise IdP posts SAML assertion; broker converts to JWT</t>
  </si>
  <si>
    <t xml:space="preserve">Fits partner enterprises mandating SAML</t>
  </si>
  <si>
    <t xml:space="preserve">Heavy XML; browser-POST bindings; assertion-to-JWT conversion layer</t>
  </si>
  <si>
    <t xml:space="preserve">Strong but legacy-complex</t>
  </si>
  <si>
    <t xml:space="preserve">High</t>
  </si>
  <si>
    <t xml:space="preserve">3D</t>
  </si>
  <si>
    <t xml:space="preserve">WebAuthn / FIDO2 passkeys</t>
  </si>
  <si>
    <t xml:space="preserve">Challenge-response signature; no shared secret sent</t>
  </si>
  <si>
    <t xml:space="preserve">Phishing-resistant; passwordless UX</t>
  </si>
  <si>
    <t xml:space="preserve">Changes Hop 3 to challenge relay; device enrollment flows to build; confirm what 'passkey' means today</t>
  </si>
  <si>
    <t xml:space="preserve">Strongest phishing resistance</t>
  </si>
  <si>
    <t xml:space="preserve">3E</t>
  </si>
  <si>
    <t xml:space="preserve">GCP Identity Platform (CIAM) fronting ID &amp; Auth</t>
  </si>
  <si>
    <t xml:space="preserve">Managed CIAM handles login, MFA, lockout; federates to ID team</t>
  </si>
  <si>
    <t xml:space="preserve">Brute-force protection, MFA, tenant mgmt out of the box</t>
  </si>
  <si>
    <t xml:space="preserve">ID team must agree to sit behind it; per-MAU pricing</t>
  </si>
  <si>
    <t xml:space="preserve">Strong managed posture</t>
  </si>
  <si>
    <t xml:space="preserve">Medium (per-MAU)</t>
  </si>
  <si>
    <t xml:space="preserve">H4</t>
  </si>
  <si>
    <t xml:space="preserve">D4: Token delivery &amp; client storage</t>
  </si>
  <si>
    <t xml:space="preserve">4A</t>
  </si>
  <si>
    <t xml:space="preserve">HttpOnly Secure SameSite cookie set by Apigee</t>
  </si>
  <si>
    <t xml:space="preserve">AssignMessage sets Set-Cookie on the /auth/login response</t>
  </si>
  <si>
    <t xml:space="preserve">Immune to XSS token theft; browser auto-attaches</t>
  </si>
  <si>
    <t xml:space="preserve">Needs CSRF thinking (SameSite covers most); browser-only clients</t>
  </si>
  <si>
    <t xml:space="preserve">Strong vs XSS</t>
  </si>
  <si>
    <t xml:space="preserve">4B</t>
  </si>
  <si>
    <t xml:space="preserve">JWT in JSON body → in-memory → Bearer header</t>
  </si>
  <si>
    <t xml:space="preserve">SPA keeps token in JS memory, sends Authorization header</t>
  </si>
  <si>
    <t xml:space="preserve">Works for non-browser API consumers too</t>
  </si>
  <si>
    <t xml:space="preserve">Lost on refresh; exposed if XSS executes during session</t>
  </si>
  <si>
    <t xml:space="preserve">Moderate</t>
  </si>
  <si>
    <t xml:space="preserve">4C</t>
  </si>
  <si>
    <t xml:space="preserve">JWT in localStorage</t>
  </si>
  <si>
    <t xml:space="preserve">Persist token in localStorage</t>
  </si>
  <si>
    <t xml:space="preserve">Survives refresh</t>
  </si>
  <si>
    <t xml:space="preserve">Readable by any XSS payload — classic token-theft vector</t>
  </si>
  <si>
    <t xml:space="preserve">Weak</t>
  </si>
  <si>
    <t xml:space="preserve">4D</t>
  </si>
  <si>
    <t xml:space="preserve">Short-lived access token + rotating refresh token</t>
  </si>
  <si>
    <t xml:space="preserve">15–60 min access TTL; /auth/refresh brokered by Apigee; rotation detects replay</t>
  </si>
  <si>
    <t xml:space="preserve">Limits blast radius of a leaked token; enables silent re-auth</t>
  </si>
  <si>
    <t xml:space="preserve">Refresh endpoint + rotation logic with ID team</t>
  </si>
  <si>
    <t xml:space="preserve">Strong lifecycle control</t>
  </si>
  <si>
    <t xml:space="preserve">Recommended add-on</t>
  </si>
  <si>
    <t xml:space="preserve">H5</t>
  </si>
  <si>
    <t xml:space="preserve">D5: JWT validation at gateway</t>
  </si>
  <si>
    <t xml:space="preserve">5A</t>
  </si>
  <si>
    <t xml:space="preserve">Apigee VerifyJWT vs ID team's JWKS URI</t>
  </si>
  <si>
    <t xml:space="preserve">Policy checks signature, exp, iss, aud, custom claims; keys fetched/cached from JWKS</t>
  </si>
  <si>
    <t xml:space="preserve">Automatic key rotation; edge rejection of bad tokens; per-claim checks</t>
  </si>
  <si>
    <t xml:space="preserve">Depends on JWKS availability (cached)</t>
  </si>
  <si>
    <t xml:space="preserve">Strong baseline</t>
  </si>
  <si>
    <t xml:space="preserve">5B</t>
  </si>
  <si>
    <t xml:space="preserve">Static public key in Apigee KVM</t>
  </si>
  <si>
    <t xml:space="preserve">Key pasted into KVM, referenced by VerifyJWT</t>
  </si>
  <si>
    <t xml:space="preserve">No JWKS dependency</t>
  </si>
  <si>
    <t xml:space="preserve">Manual rotation = outage risk; drift across envs</t>
  </si>
  <si>
    <t xml:space="preserve">Fragile ops</t>
  </si>
  <si>
    <t xml:space="preserve">5C</t>
  </si>
  <si>
    <t xml:space="preserve">Opaque token + introspection ServiceCallout</t>
  </si>
  <si>
    <t xml:space="preserve">Apigee calls ID team's /introspect per request (with short cache)</t>
  </si>
  <si>
    <t xml:space="preserve">Instant revocation; token contents never client-visible</t>
  </si>
  <si>
    <t xml:space="preserve">Latency + hard runtime dependency per call</t>
  </si>
  <si>
    <t xml:space="preserve">Strong revocation</t>
  </si>
  <si>
    <t xml:space="preserve">Medium (calls)</t>
  </si>
  <si>
    <t xml:space="preserve">5D</t>
  </si>
  <si>
    <t xml:space="preserve">Validate only inside the GKE API</t>
  </si>
  <si>
    <t xml:space="preserve">No gateway check; API middleware validates</t>
  </si>
  <si>
    <t xml:space="preserve">One less policy</t>
  </si>
  <si>
    <t xml:space="preserve">Unauthenticated traffic reaches the VPC; loses edge analytics/quota per user</t>
  </si>
  <si>
    <t xml:space="preserve">Weak — late rejection</t>
  </si>
  <si>
    <t xml:space="preserve">5E</t>
  </si>
  <si>
    <t xml:space="preserve">Double validation (Apigee + GKE API)</t>
  </si>
  <si>
    <t xml:space="preserve">VerifyJWT at gateway AND re-validate in API middleware vs same JWKS</t>
  </si>
  <si>
    <t xml:space="preserve">Defense-in-depth; survives gateway misconfig</t>
  </si>
  <si>
    <t xml:space="preserve">Must document Apigee as the authoritative check</t>
  </si>
  <si>
    <t xml:space="preserve">Strong</t>
  </si>
  <si>
    <t xml:space="preserve">5F</t>
  </si>
  <si>
    <t xml:space="preserve">jti deny-list in Apigee cache/KVM</t>
  </si>
  <si>
    <t xml:space="preserve">Logout/compromise writes token id to cache until natural expiry; checked after VerifyJWT</t>
  </si>
  <si>
    <t xml:space="preserve">Revocation without full introspection cost</t>
  </si>
  <si>
    <t xml:space="preserve">Cache sizing; multi-region cache consistency</t>
  </si>
  <si>
    <t xml:space="preserve">Good revocation story</t>
  </si>
  <si>
    <t xml:space="preserve">H6</t>
  </si>
  <si>
    <t xml:space="preserve">D6: Southbound network (Apigee → GKE)</t>
  </si>
  <si>
    <t xml:space="preserve">6A</t>
  </si>
  <si>
    <t xml:space="preserve">PSC service attachment + mTLS to GKE ingress</t>
  </si>
  <si>
    <t xml:space="preserve">Apigee target → PSC → internal LB/GKE Gateway; Apigee presents client cert (CAS-issued)</t>
  </si>
  <si>
    <t xml:space="preserve">Private producer/consumer model; no peering sprawl; strongest transport trust</t>
  </si>
  <si>
    <t xml:space="preserve">CAS + cert rotation to operate</t>
  </si>
  <si>
    <t xml:space="preserve">6B</t>
  </si>
  <si>
    <t xml:space="preserve">Internal HTTPS LB over shared/peered VPC + firewall</t>
  </si>
  <si>
    <t xml:space="preserve">Route over existing shared VPC; one-way TLS; firewall restricts source</t>
  </si>
  <si>
    <t xml:space="preserve">Reuses existing network fabric</t>
  </si>
  <si>
    <t xml:space="preserve">Weaker than mTLS unless added; peering scale limits</t>
  </si>
  <si>
    <t xml:space="preserve">Good if firewall-tight</t>
  </si>
  <si>
    <t xml:space="preserve">6C</t>
  </si>
  <si>
    <t xml:space="preserve">Public GKE endpoint + IP allow-list</t>
  </si>
  <si>
    <t xml:space="preserve">Expose ingress publicly, allow-list Apigee egress IPs</t>
  </si>
  <si>
    <t xml:space="preserve">Trivial to set up</t>
  </si>
  <si>
    <t xml:space="preserve">Public surface; IP trust is spoof/rotation-fragile</t>
  </si>
  <si>
    <t xml:space="preserve">D6a: Identity propagation to API</t>
  </si>
  <si>
    <t xml:space="preserve">6D</t>
  </si>
  <si>
    <t xml:space="preserve">Trusted headers injected by Apigee (X-User-Id, X-Tenant-Id, X-Roles)</t>
  </si>
  <si>
    <t xml:space="preserve">Apigee strips client identity headers, injects from verified claims</t>
  </si>
  <si>
    <t xml:space="preserve">Simple, fast; API stays JWT-agnostic</t>
  </si>
  <si>
    <t xml:space="preserve">Safe ONLY because transport proves sender is Apigee (pair with 6A/6B)</t>
  </si>
  <si>
    <t xml:space="preserve">Good with locked transport</t>
  </si>
  <si>
    <t xml:space="preserve">6E</t>
  </si>
  <si>
    <t xml:space="preserve">Forward original JWT; API re-validates</t>
  </si>
  <si>
    <t xml:space="preserve">Bearer token passed through; API middleware validates vs JWKS</t>
  </si>
  <si>
    <t xml:space="preserve">Pairs with 5E; end-to-end verifiable identity</t>
  </si>
  <si>
    <t xml:space="preserve">Slight CPU per request</t>
  </si>
  <si>
    <t xml:space="preserve">6F</t>
  </si>
  <si>
    <t xml:space="preserve">Token exchange — Apigee mints internal gateway-signed token</t>
  </si>
  <si>
    <t xml:space="preserve">Apigee swaps external JWT for an internal short-lived token it signs</t>
  </si>
  <si>
    <t xml:space="preserve">Cleanest zero-trust story; internal claims decoupled from external IdP</t>
  </si>
  <si>
    <t xml:space="preserve">A signing service/keys to build, rotate, operate</t>
  </si>
  <si>
    <t xml:space="preserve">Strongest internal trust</t>
  </si>
  <si>
    <t xml:space="preserve">H7</t>
  </si>
  <si>
    <t xml:space="preserve">D7: Looker consumption model</t>
  </si>
  <si>
    <t xml:space="preserve">7A</t>
  </si>
  <si>
    <t xml:space="preserve">Signed SSO Embed URL (iframe dashboards)</t>
  </si>
  <si>
    <t xml:space="preserve">GKE API builds signed embed URL from embed secret; JWT claims → embed user + user attributes</t>
  </si>
  <si>
    <t xml:space="preserve">Per-user identity + RLS with least custom code; native Looker UX</t>
  </si>
  <si>
    <t xml:space="preserve">Iframe constraints; Looker chrome visible (theming mitigates)</t>
  </si>
  <si>
    <t xml:space="preserve">Strong per-user isolation</t>
  </si>
  <si>
    <t xml:space="preserve">7B</t>
  </si>
  <si>
    <t xml:space="preserve">Looker REST API behind a custom UI</t>
  </si>
  <si>
    <t xml:space="preserve">API session (service acct) runs queries/renders; SPA displays results</t>
  </si>
  <si>
    <t xml:space="preserve">Full brand control; no Looker chrome</t>
  </si>
  <si>
    <t xml:space="preserve">You rebuild filters, drill-downs, exports — months of effort</t>
  </si>
  <si>
    <t xml:space="preserve">Strong (server-side only)</t>
  </si>
  <si>
    <t xml:space="preserve">7C</t>
  </si>
  <si>
    <t xml:space="preserve">Private embed without SSO</t>
  </si>
  <si>
    <t xml:space="preserve">Anonymous/shared embed of dashboards</t>
  </si>
  <si>
    <t xml:space="preserve">Quick demo path</t>
  </si>
  <si>
    <t xml:space="preserve">No per-user identity → no row-level security — unacceptable for multi-tenant</t>
  </si>
  <si>
    <t xml:space="preserve">Weak — shared identity</t>
  </si>
  <si>
    <t xml:space="preserve">7D</t>
  </si>
  <si>
    <t xml:space="preserve">Full reverse-proxy of Looker UI to external users</t>
  </si>
  <si>
    <t xml:space="preserve">Proxy the native Looker app through the API layer</t>
  </si>
  <si>
    <t xml:space="preserve">No embed work</t>
  </si>
  <si>
    <t xml:space="preserve">Session/cookie complexity; exposes native surface; per-user licensing questions</t>
  </si>
  <si>
    <t xml:space="preserve">Weak surface control</t>
  </si>
  <si>
    <t xml:space="preserve">D7a: Reverse proxy technology</t>
  </si>
  <si>
    <t xml:space="preserve">7E</t>
  </si>
  <si>
    <t xml:space="preserve">NGINX in front of Looker pods</t>
  </si>
  <si>
    <t xml:space="preserve">Plain NGINX deployment: TLS, WebSocket upgrade, rewrites, limits</t>
  </si>
  <si>
    <t xml:space="preserve">Simple, universally known</t>
  </si>
  <si>
    <t xml:space="preserve">Manual config for mTLS/policy</t>
  </si>
  <si>
    <t xml:space="preserve">7F</t>
  </si>
  <si>
    <t xml:space="preserve">Envoy / Istio mesh sidecars</t>
  </si>
  <si>
    <t xml:space="preserve">Mesh provides mTLS, policy, telemetry to Looker pods</t>
  </si>
  <si>
    <t xml:space="preserve">mTLS + AuthorizationPolicy + tracing for free IF mesh exists</t>
  </si>
  <si>
    <t xml:space="preserve">Do not adopt a mesh just for this</t>
  </si>
  <si>
    <t xml:space="preserve">Strong (with mesh)</t>
  </si>
  <si>
    <t xml:space="preserve">H8</t>
  </si>
  <si>
    <t xml:space="preserve">D8: Looker → DB tenant isolation</t>
  </si>
  <si>
    <t xml:space="preserve">8A</t>
  </si>
  <si>
    <t xml:space="preserve">Single service credential + user-attribute access filters (RLS)</t>
  </si>
  <si>
    <t xml:space="preserve">Looker connects once; access_filter fields keyed to embed user attributes</t>
  </si>
  <si>
    <t xml:space="preserve">Standard multi-tenant embed pattern; isolation in the model layer</t>
  </si>
  <si>
    <t xml:space="preserve">Model discipline required; test per-tenant leakage</t>
  </si>
  <si>
    <t xml:space="preserve">Strong when modeled correctly</t>
  </si>
  <si>
    <t xml:space="preserve">8B</t>
  </si>
  <si>
    <t xml:space="preserve">Per-tenant DB connections / schemas</t>
  </si>
  <si>
    <t xml:space="preserve">Looker connection per tenant, mapped by user attribute</t>
  </si>
  <si>
    <t xml:space="preserve">Hard isolation for regulated tenants</t>
  </si>
  <si>
    <t xml:space="preserve">Connection sprawl; ops overhead per tenant</t>
  </si>
  <si>
    <t xml:space="preserve">Strongest isolation</t>
  </si>
  <si>
    <t xml:space="preserve">8C</t>
  </si>
  <si>
    <t xml:space="preserve">BigQuery authorized views per tenant</t>
  </si>
  <si>
    <t xml:space="preserve">Tenant-scoped views; Looker models point at them</t>
  </si>
  <si>
    <t xml:space="preserve">Warehouse-level enforcement; auditable</t>
  </si>
  <si>
    <t xml:space="preserve">View maintenance per tenant; BQ-only</t>
  </si>
  <si>
    <t xml:space="preserve">Strong (BQ shops)</t>
  </si>
  <si>
    <t xml:space="preserve">Example of expected input → Team Decision: 'Approved' | 'Rejected' | 'Needs driver' · Owner / Notes: 'A.Sharma — confirm JWKS URI SLA with ID team'</t>
  </si>
  <si>
    <t xml:space="preserve">Weighted Scorecards — four contested decisions (scores 1–5, proposed by architecture review; team adjusts yellow cells)</t>
  </si>
  <si>
    <t xml:space="preserve">D3 — Credential authentication</t>
  </si>
  <si>
    <t xml:space="preserve">Security</t>
  </si>
  <si>
    <t xml:space="preserve">User experience</t>
  </si>
  <si>
    <t xml:space="preserve">Time to market</t>
  </si>
  <si>
    <t xml:space="preserve">Ops complexity (5=simplest)</t>
  </si>
  <si>
    <t xml:space="preserve">Cost efficiency (5=cheapest)</t>
  </si>
  <si>
    <t xml:space="preserve">Weighted score</t>
  </si>
  <si>
    <t xml:space="preserve">Weights (must sum to 1.00)</t>
  </si>
  <si>
    <t xml:space="preserve">3A Apigee-brokered REST (current pattern)</t>
  </si>
  <si>
    <t xml:space="preserve">3B OIDC Auth Code + PKCE</t>
  </si>
  <si>
    <t xml:space="preserve">3C SAML 2.0</t>
  </si>
  <si>
    <t xml:space="preserve">3D WebAuthn/FIDO2 passkeys</t>
  </si>
  <si>
    <t xml:space="preserve">3E GCP Identity Platform (CIAM)</t>
  </si>
  <si>
    <t xml:space="preserve">D5 — JWT validation at gateway</t>
  </si>
  <si>
    <t xml:space="preserve">5A VerifyJWT vs JWKS</t>
  </si>
  <si>
    <t xml:space="preserve">5B Static key in KVM</t>
  </si>
  <si>
    <t xml:space="preserve">5C Opaque + introspection</t>
  </si>
  <si>
    <t xml:space="preserve">5D Validate only in GKE API</t>
  </si>
  <si>
    <t xml:space="preserve">D6 — Southbound trust (Apigee → GKE)</t>
  </si>
  <si>
    <t xml:space="preserve">6A PSC + mTLS</t>
  </si>
  <si>
    <t xml:space="preserve">6B Internal LB over shared VPC + firewall</t>
  </si>
  <si>
    <t xml:space="preserve">6C Public endpoint + IP allow-list</t>
  </si>
  <si>
    <t xml:space="preserve">D7 — Looker consumption model</t>
  </si>
  <si>
    <t xml:space="preserve">7A Signed SSO Embed (iframe)</t>
  </si>
  <si>
    <t xml:space="preserve">7B Looker REST API + custom UI</t>
  </si>
  <si>
    <t xml:space="preserve">7C Private embed no SSO</t>
  </si>
  <si>
    <t xml:space="preserve">7D Reverse-proxy full Looker UI</t>
  </si>
  <si>
    <t xml:space="preserve">Decision point</t>
  </si>
  <si>
    <t xml:space="preserve">Selected</t>
  </si>
  <si>
    <t xml:space="preserve">Recommended selection (with add-ons)</t>
  </si>
  <si>
    <t xml:space="preserve">D1 Internet entry</t>
  </si>
  <si>
    <t xml:space="preserve">1A-lite</t>
  </si>
  <si>
    <t xml:space="preserve">Global External HTTPS LB + PSC NEG exposing the Apigee external gateway (required Apigee X plumbing). Cloud Armor + Akamai removed per v1.3 decision — SpikeArrest is the only abuse control (flagged; re-attach Cloud Armor later with zero redesign if needed)</t>
  </si>
  <si>
    <t xml:space="preserve">D2 Login UI hosting</t>
  </si>
  <si>
    <t xml:space="preserve">GCS + Cloud CDN behind Apigee passthrough (2B NGINX-in-GKE acceptable if one-pipeline preferred)</t>
  </si>
  <si>
    <t xml:space="preserve">D3 Credential authentication</t>
  </si>
  <si>
    <t xml:space="preserve">3A → 3B</t>
  </si>
  <si>
    <t xml:space="preserve">Proxy chain: external proxy → Apigee internal proxy → ID&amp;A API → OSIS DB (credential store) — internal leg never internet-exposed; evolve to OIDC Auth Code + PKCE when ID&amp;A team supports it</t>
  </si>
  <si>
    <t xml:space="preserve">D4 Token delivery/storage</t>
  </si>
  <si>
    <t xml:space="preserve">4A + 4D</t>
  </si>
  <si>
    <t xml:space="preserve">HttpOnly Secure SameSite cookie + short-lived access token with rotating refresh</t>
  </si>
  <si>
    <t xml:space="preserve">D5 JWT validation</t>
  </si>
  <si>
    <t xml:space="preserve">5A + 5E + 5F</t>
  </si>
  <si>
    <t xml:space="preserve">VerifyJWT vs JWKS at Apigee + re-validate in API (defense-in-depth) + jti deny-list for revocation</t>
  </si>
  <si>
    <t xml:space="preserve">D6 Southbound + identity</t>
  </si>
  <si>
    <t xml:space="preserve">6A + 6D + 6E</t>
  </si>
  <si>
    <t xml:space="preserve">PSC + mTLS; trusted headers injected by Apigee; original JWT forwarded for API re-validation</t>
  </si>
  <si>
    <t xml:space="preserve">D7 Looker consumption</t>
  </si>
  <si>
    <t xml:space="preserve">7A + 7E</t>
  </si>
  <si>
    <t xml:space="preserve">Signed SSO Embed URL (user attributes → RLS) fronted by NGINX reverse proxy</t>
  </si>
  <si>
    <t xml:space="preserve">D8 Tenant isolation at DB</t>
  </si>
  <si>
    <t xml:space="preserve">Single service credential + Looker user-attribute access filters (row-level security)</t>
  </si>
  <si>
    <t xml:space="preserve">One-line path: 1A-lite → 2A → 3A via internal-proxy chain + OSIS (→3B) → 4A+4D → 5A+5E+5F → 6A+6D+6E → 7A+7E → 8A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</si>
</sst>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733"/>
      <name val="Arial"/>
      <family val="0"/>
      <charset val="1"/>
    </font>
    <font>
      <sz val="10"/>
      <color rgb="FF1C2733"/>
      <name val="Arial"/>
      <family val="0"/>
      <charset val="1"/>
    </font>
    <font>
      <b val="true"/>
      <sz val="11"/>
      <color rgb="FF1C2733"/>
      <name val="Arial"/>
      <family val="0"/>
      <charset val="1"/>
    </font>
    <font>
      <sz val="9"/>
      <color rgb="FF1C2733"/>
      <name val="Arial"/>
      <family val="0"/>
      <charset val="1"/>
    </font>
    <font>
      <b val="true"/>
      <sz val="10"/>
      <color rgb="FF1A7F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C2733"/>
      <name val="Arial"/>
      <family val="0"/>
      <charset val="1"/>
    </font>
    <font>
      <b val="true"/>
      <sz val="9"/>
      <color rgb="FF0B5FA5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4A5A6A"/>
      <name val="Arial"/>
      <family val="0"/>
      <charset val="1"/>
    </font>
    <font>
      <b val="true"/>
      <sz val="11"/>
      <color rgb="FF0B5FA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B5FA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5FA5"/>
        <bgColor rgb="FF008080"/>
      </patternFill>
    </fill>
    <fill>
      <patternFill patternType="solid">
        <fgColor rgb="FFD9EAD3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AC4"/>
      </left>
      <right style="thin">
        <color rgb="FFB0BAC4"/>
      </right>
      <top style="thin">
        <color rgb="FFB0BAC4"/>
      </top>
      <bottom style="thin">
        <color rgb="FFB0BAC4"/>
      </bottom>
      <diagonal/>
    </border>
    <border diagonalUp="false" diagonalDown="false">
      <left style="thin">
        <color rgb="FFB0BAC4"/>
      </left>
      <right style="thin">
        <color rgb="FFB0BAC4"/>
      </right>
      <top style="medium">
        <color rgb="FF0B5FA5"/>
      </top>
      <bottom style="thin">
        <color rgb="FFB0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E"/>
      <rgbColor rgb="FFB0BAC4"/>
      <rgbColor rgb="FF808080"/>
      <rgbColor rgb="FF9999FF"/>
      <rgbColor rgb="FF993366"/>
      <rgbColor rgb="FFFFF2CC"/>
      <rgbColor rgb="FFCCFFFF"/>
      <rgbColor rgb="FF660066"/>
      <rgbColor rgb="FFFF8080"/>
      <rgbColor rgb="FF0B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A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30" hidden="false" customHeight="true" outlineLevel="0" collapsed="false">
      <c r="B1" s="2" t="s">
        <v>0</v>
      </c>
    </row>
    <row r="2" customFormat="false" ht="24" hidden="false" customHeight="true" outlineLevel="0" collapsed="false">
      <c r="B2" s="3" t="s">
        <v>1</v>
      </c>
    </row>
    <row r="3" customFormat="false" ht="24" hidden="false" customHeight="true" outlineLevel="0" collapsed="false">
      <c r="B3" s="3"/>
    </row>
    <row r="4" customFormat="false" ht="25.5" hidden="false" customHeight="true" outlineLevel="0" collapsed="false">
      <c r="B4" s="4" t="s">
        <v>2</v>
      </c>
    </row>
    <row r="5" customFormat="false" ht="24" hidden="false" customHeight="true" outlineLevel="0" collapsed="false">
      <c r="B5" s="3" t="s">
        <v>3</v>
      </c>
    </row>
    <row r="6" customFormat="false" ht="24" hidden="false" customHeight="true" outlineLevel="0" collapsed="false">
      <c r="B6" s="3" t="s">
        <v>4</v>
      </c>
    </row>
    <row r="7" customFormat="false" ht="24" hidden="false" customHeight="true" outlineLevel="0" collapsed="false">
      <c r="B7" s="3" t="s">
        <v>5</v>
      </c>
    </row>
    <row r="8" customFormat="false" ht="24" hidden="false" customHeight="true" outlineLevel="0" collapsed="false">
      <c r="B8" s="3" t="s">
        <v>6</v>
      </c>
    </row>
    <row r="9" customFormat="false" ht="24" hidden="false" customHeight="true" outlineLevel="0" collapsed="false">
      <c r="B9" s="3"/>
    </row>
    <row r="10" customFormat="false" ht="25.5" hidden="false" customHeight="true" outlineLevel="0" collapsed="false">
      <c r="B10" s="4" t="s">
        <v>7</v>
      </c>
    </row>
    <row r="11" customFormat="false" ht="24" hidden="false" customHeight="true" outlineLevel="0" collapsed="false">
      <c r="B11" s="3" t="s">
        <v>8</v>
      </c>
    </row>
    <row r="12" customFormat="false" ht="24" hidden="false" customHeight="true" outlineLevel="0" collapsed="false">
      <c r="B12" s="3" t="s">
        <v>9</v>
      </c>
    </row>
    <row r="13" customFormat="false" ht="24" hidden="false" customHeight="true" outlineLevel="0" collapsed="false">
      <c r="B13" s="3"/>
    </row>
    <row r="14" customFormat="false" ht="24" hidden="false" customHeight="true" outlineLevel="0" collapsed="false">
      <c r="B14" s="5" t="s">
        <v>10</v>
      </c>
    </row>
    <row r="16" customFormat="false" ht="39.75" hidden="false" customHeight="true" outlineLevel="0" collapsed="false">
      <c r="B16" s="6" t="s">
        <v>11</v>
      </c>
    </row>
    <row r="17" customFormat="false" ht="51.75" hidden="false" customHeight="true" outlineLevel="0" collapsed="false">
      <c r="B17" s="6" t="s">
        <v>12</v>
      </c>
    </row>
    <row r="18" customFormat="false" ht="51.75" hidden="false" customHeight="true" outlineLevel="0" collapsed="false">
      <c r="B18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30"/>
    <col collapsed="false" customWidth="true" hidden="false" outlineLevel="0" max="5" min="5" style="1" width="38"/>
    <col collapsed="false" customWidth="true" hidden="false" outlineLevel="0" max="7" min="6" style="1" width="36"/>
    <col collapsed="false" customWidth="true" hidden="false" outlineLevel="0" max="8" min="8" style="1" width="2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22"/>
  </cols>
  <sheetData>
    <row r="1" customFormat="false" ht="23.25" hidden="false" customHeight="true" outlineLevel="0" collapsed="false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</row>
    <row r="2" customFormat="false" ht="51.75" hidden="false" customHeight="true" outlineLevel="0" collapsed="false">
      <c r="A2" s="8" t="s">
        <v>27</v>
      </c>
      <c r="B2" s="9" t="s">
        <v>28</v>
      </c>
      <c r="C2" s="10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35</v>
      </c>
      <c r="K2" s="11" t="s">
        <v>36</v>
      </c>
      <c r="L2" s="12"/>
      <c r="M2" s="12"/>
    </row>
    <row r="3" customFormat="false" ht="51.75" hidden="false" customHeight="true" outlineLevel="0" collapsed="false">
      <c r="A3" s="13" t="s">
        <v>27</v>
      </c>
      <c r="B3" s="14" t="s">
        <v>28</v>
      </c>
      <c r="C3" s="15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4" t="s">
        <v>42</v>
      </c>
      <c r="I3" s="14" t="s">
        <v>43</v>
      </c>
      <c r="J3" s="14" t="s">
        <v>43</v>
      </c>
      <c r="K3" s="16" t="s">
        <v>44</v>
      </c>
      <c r="L3" s="17"/>
      <c r="M3" s="17"/>
    </row>
    <row r="4" customFormat="false" ht="51.75" hidden="false" customHeight="true" outlineLevel="0" collapsed="false">
      <c r="A4" s="13" t="s">
        <v>27</v>
      </c>
      <c r="B4" s="14" t="s">
        <v>28</v>
      </c>
      <c r="C4" s="15" t="s">
        <v>45</v>
      </c>
      <c r="D4" s="14" t="s">
        <v>46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35</v>
      </c>
      <c r="J4" s="14" t="s">
        <v>35</v>
      </c>
      <c r="K4" s="18" t="s">
        <v>51</v>
      </c>
      <c r="L4" s="17"/>
      <c r="M4" s="17"/>
    </row>
    <row r="5" customFormat="false" ht="51.75" hidden="false" customHeight="true" outlineLevel="0" collapsed="false">
      <c r="A5" s="13" t="s">
        <v>27</v>
      </c>
      <c r="B5" s="14" t="s">
        <v>28</v>
      </c>
      <c r="C5" s="15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58</v>
      </c>
      <c r="K5" s="19" t="s">
        <v>59</v>
      </c>
      <c r="L5" s="17"/>
      <c r="M5" s="17"/>
    </row>
    <row r="6" customFormat="false" ht="60" hidden="false" customHeight="true" outlineLevel="0" collapsed="false">
      <c r="A6" s="20" t="s">
        <v>27</v>
      </c>
      <c r="B6" s="21" t="s">
        <v>28</v>
      </c>
      <c r="C6" s="15" t="s">
        <v>60</v>
      </c>
      <c r="D6" s="21" t="s">
        <v>61</v>
      </c>
      <c r="E6" s="21" t="s">
        <v>62</v>
      </c>
      <c r="F6" s="21" t="s">
        <v>63</v>
      </c>
      <c r="G6" s="21" t="s">
        <v>64</v>
      </c>
      <c r="H6" s="21" t="s">
        <v>65</v>
      </c>
      <c r="I6" s="21" t="s">
        <v>35</v>
      </c>
      <c r="J6" s="21" t="s">
        <v>35</v>
      </c>
      <c r="K6" s="19" t="s">
        <v>66</v>
      </c>
      <c r="L6" s="22"/>
      <c r="M6" s="22"/>
    </row>
    <row r="7" customFormat="false" ht="51.75" hidden="false" customHeight="true" outlineLevel="0" collapsed="false">
      <c r="A7" s="8" t="s">
        <v>67</v>
      </c>
      <c r="B7" s="9" t="s">
        <v>68</v>
      </c>
      <c r="C7" s="10" t="s">
        <v>69</v>
      </c>
      <c r="D7" s="9" t="s">
        <v>70</v>
      </c>
      <c r="E7" s="9" t="s">
        <v>71</v>
      </c>
      <c r="F7" s="9" t="s">
        <v>72</v>
      </c>
      <c r="G7" s="9" t="s">
        <v>73</v>
      </c>
      <c r="H7" s="9" t="s">
        <v>74</v>
      </c>
      <c r="I7" s="9" t="s">
        <v>43</v>
      </c>
      <c r="J7" s="9" t="s">
        <v>35</v>
      </c>
      <c r="K7" s="23" t="s">
        <v>75</v>
      </c>
      <c r="L7" s="12"/>
      <c r="M7" s="12"/>
    </row>
    <row r="8" customFormat="false" ht="51.75" hidden="false" customHeight="true" outlineLevel="0" collapsed="false">
      <c r="A8" s="13" t="s">
        <v>67</v>
      </c>
      <c r="B8" s="14" t="s">
        <v>68</v>
      </c>
      <c r="C8" s="15" t="s">
        <v>76</v>
      </c>
      <c r="D8" s="14" t="s">
        <v>77</v>
      </c>
      <c r="E8" s="14" t="s">
        <v>78</v>
      </c>
      <c r="F8" s="14" t="s">
        <v>79</v>
      </c>
      <c r="G8" s="14" t="s">
        <v>80</v>
      </c>
      <c r="H8" s="14" t="s">
        <v>81</v>
      </c>
      <c r="I8" s="14" t="s">
        <v>35</v>
      </c>
      <c r="J8" s="14" t="s">
        <v>35</v>
      </c>
      <c r="K8" s="18" t="s">
        <v>82</v>
      </c>
      <c r="L8" s="17"/>
      <c r="M8" s="17"/>
    </row>
    <row r="9" customFormat="false" ht="51.75" hidden="false" customHeight="true" outlineLevel="0" collapsed="false">
      <c r="A9" s="13" t="s">
        <v>67</v>
      </c>
      <c r="B9" s="14" t="s">
        <v>68</v>
      </c>
      <c r="C9" s="15" t="s">
        <v>83</v>
      </c>
      <c r="D9" s="14" t="s">
        <v>84</v>
      </c>
      <c r="E9" s="14" t="s">
        <v>85</v>
      </c>
      <c r="F9" s="14" t="s">
        <v>86</v>
      </c>
      <c r="G9" s="14" t="s">
        <v>87</v>
      </c>
      <c r="H9" s="14" t="s">
        <v>81</v>
      </c>
      <c r="I9" s="14" t="s">
        <v>35</v>
      </c>
      <c r="J9" s="14" t="s">
        <v>35</v>
      </c>
      <c r="K9" s="18" t="s">
        <v>51</v>
      </c>
      <c r="L9" s="17"/>
      <c r="M9" s="17"/>
    </row>
    <row r="10" customFormat="false" ht="51.75" hidden="false" customHeight="true" outlineLevel="0" collapsed="false">
      <c r="A10" s="13" t="s">
        <v>67</v>
      </c>
      <c r="B10" s="14" t="s">
        <v>68</v>
      </c>
      <c r="C10" s="15" t="s">
        <v>88</v>
      </c>
      <c r="D10" s="14" t="s">
        <v>89</v>
      </c>
      <c r="E10" s="14" t="s">
        <v>90</v>
      </c>
      <c r="F10" s="14" t="s">
        <v>91</v>
      </c>
      <c r="G10" s="14" t="s">
        <v>92</v>
      </c>
      <c r="H10" s="14" t="s">
        <v>93</v>
      </c>
      <c r="I10" s="14" t="s">
        <v>43</v>
      </c>
      <c r="J10" s="14" t="s">
        <v>94</v>
      </c>
      <c r="K10" s="16" t="s">
        <v>44</v>
      </c>
      <c r="L10" s="17"/>
      <c r="M10" s="17"/>
    </row>
    <row r="11" customFormat="false" ht="51.75" hidden="false" customHeight="true" outlineLevel="0" collapsed="false">
      <c r="A11" s="8" t="s">
        <v>95</v>
      </c>
      <c r="B11" s="9" t="s">
        <v>96</v>
      </c>
      <c r="C11" s="10" t="s">
        <v>97</v>
      </c>
      <c r="D11" s="9" t="s">
        <v>98</v>
      </c>
      <c r="E11" s="9" t="s">
        <v>99</v>
      </c>
      <c r="F11" s="9" t="s">
        <v>100</v>
      </c>
      <c r="G11" s="9" t="s">
        <v>101</v>
      </c>
      <c r="H11" s="9" t="s">
        <v>102</v>
      </c>
      <c r="I11" s="9" t="s">
        <v>35</v>
      </c>
      <c r="J11" s="9" t="s">
        <v>35</v>
      </c>
      <c r="K11" s="23" t="s">
        <v>75</v>
      </c>
      <c r="L11" s="12"/>
      <c r="M11" s="12"/>
    </row>
    <row r="12" customFormat="false" ht="51.75" hidden="false" customHeight="true" outlineLevel="0" collapsed="false">
      <c r="A12" s="13" t="s">
        <v>95</v>
      </c>
      <c r="B12" s="14" t="s">
        <v>96</v>
      </c>
      <c r="C12" s="15" t="s">
        <v>103</v>
      </c>
      <c r="D12" s="14" t="s">
        <v>104</v>
      </c>
      <c r="E12" s="14" t="s">
        <v>105</v>
      </c>
      <c r="F12" s="14" t="s">
        <v>106</v>
      </c>
      <c r="G12" s="14" t="s">
        <v>107</v>
      </c>
      <c r="H12" s="14" t="s">
        <v>108</v>
      </c>
      <c r="I12" s="14" t="s">
        <v>109</v>
      </c>
      <c r="J12" s="14" t="s">
        <v>58</v>
      </c>
      <c r="K12" s="18" t="s">
        <v>82</v>
      </c>
      <c r="L12" s="17"/>
      <c r="M12" s="17"/>
    </row>
    <row r="13" customFormat="false" ht="51.75" hidden="false" customHeight="true" outlineLevel="0" collapsed="false">
      <c r="A13" s="13" t="s">
        <v>95</v>
      </c>
      <c r="B13" s="14" t="s">
        <v>96</v>
      </c>
      <c r="C13" s="15" t="s">
        <v>110</v>
      </c>
      <c r="D13" s="14" t="s">
        <v>111</v>
      </c>
      <c r="E13" s="14" t="s">
        <v>112</v>
      </c>
      <c r="F13" s="14" t="s">
        <v>113</v>
      </c>
      <c r="G13" s="14" t="s">
        <v>114</v>
      </c>
      <c r="H13" s="14" t="s">
        <v>115</v>
      </c>
      <c r="I13" s="14" t="s">
        <v>58</v>
      </c>
      <c r="J13" s="14" t="s">
        <v>116</v>
      </c>
      <c r="K13" s="18" t="s">
        <v>51</v>
      </c>
      <c r="L13" s="17"/>
      <c r="M13" s="17"/>
    </row>
    <row r="14" customFormat="false" ht="51.75" hidden="false" customHeight="true" outlineLevel="0" collapsed="false">
      <c r="A14" s="13" t="s">
        <v>95</v>
      </c>
      <c r="B14" s="14" t="s">
        <v>96</v>
      </c>
      <c r="C14" s="15" t="s">
        <v>117</v>
      </c>
      <c r="D14" s="14" t="s">
        <v>118</v>
      </c>
      <c r="E14" s="14" t="s">
        <v>119</v>
      </c>
      <c r="F14" s="14" t="s">
        <v>120</v>
      </c>
      <c r="G14" s="14" t="s">
        <v>121</v>
      </c>
      <c r="H14" s="14" t="s">
        <v>122</v>
      </c>
      <c r="I14" s="14" t="s">
        <v>58</v>
      </c>
      <c r="J14" s="14" t="s">
        <v>116</v>
      </c>
      <c r="K14" s="18" t="s">
        <v>51</v>
      </c>
      <c r="L14" s="17"/>
      <c r="M14" s="17"/>
    </row>
    <row r="15" customFormat="false" ht="51.75" hidden="false" customHeight="true" outlineLevel="0" collapsed="false">
      <c r="A15" s="13" t="s">
        <v>95</v>
      </c>
      <c r="B15" s="14" t="s">
        <v>96</v>
      </c>
      <c r="C15" s="15" t="s">
        <v>123</v>
      </c>
      <c r="D15" s="14" t="s">
        <v>124</v>
      </c>
      <c r="E15" s="14" t="s">
        <v>125</v>
      </c>
      <c r="F15" s="14" t="s">
        <v>126</v>
      </c>
      <c r="G15" s="14" t="s">
        <v>127</v>
      </c>
      <c r="H15" s="14" t="s">
        <v>128</v>
      </c>
      <c r="I15" s="14" t="s">
        <v>129</v>
      </c>
      <c r="J15" s="14" t="s">
        <v>58</v>
      </c>
      <c r="K15" s="18" t="s">
        <v>82</v>
      </c>
      <c r="L15" s="17"/>
      <c r="M15" s="17"/>
    </row>
    <row r="16" customFormat="false" ht="51.75" hidden="false" customHeight="true" outlineLevel="0" collapsed="false">
      <c r="A16" s="8" t="s">
        <v>130</v>
      </c>
      <c r="B16" s="9" t="s">
        <v>131</v>
      </c>
      <c r="C16" s="10" t="s">
        <v>132</v>
      </c>
      <c r="D16" s="9" t="s">
        <v>133</v>
      </c>
      <c r="E16" s="9" t="s">
        <v>134</v>
      </c>
      <c r="F16" s="9" t="s">
        <v>135</v>
      </c>
      <c r="G16" s="9" t="s">
        <v>136</v>
      </c>
      <c r="H16" s="9" t="s">
        <v>137</v>
      </c>
      <c r="I16" s="9" t="s">
        <v>43</v>
      </c>
      <c r="J16" s="9" t="s">
        <v>35</v>
      </c>
      <c r="K16" s="23" t="s">
        <v>75</v>
      </c>
      <c r="L16" s="12"/>
      <c r="M16" s="12"/>
    </row>
    <row r="17" customFormat="false" ht="51.75" hidden="false" customHeight="true" outlineLevel="0" collapsed="false">
      <c r="A17" s="13" t="s">
        <v>130</v>
      </c>
      <c r="B17" s="14" t="s">
        <v>131</v>
      </c>
      <c r="C17" s="15" t="s">
        <v>138</v>
      </c>
      <c r="D17" s="14" t="s">
        <v>139</v>
      </c>
      <c r="E17" s="14" t="s">
        <v>140</v>
      </c>
      <c r="F17" s="14" t="s">
        <v>141</v>
      </c>
      <c r="G17" s="14" t="s">
        <v>142</v>
      </c>
      <c r="H17" s="14" t="s">
        <v>143</v>
      </c>
      <c r="I17" s="14" t="s">
        <v>43</v>
      </c>
      <c r="J17" s="14" t="s">
        <v>35</v>
      </c>
      <c r="K17" s="18" t="s">
        <v>82</v>
      </c>
      <c r="L17" s="17"/>
      <c r="M17" s="17"/>
    </row>
    <row r="18" customFormat="false" ht="51.75" hidden="false" customHeight="true" outlineLevel="0" collapsed="false">
      <c r="A18" s="13" t="s">
        <v>130</v>
      </c>
      <c r="B18" s="14" t="s">
        <v>131</v>
      </c>
      <c r="C18" s="15" t="s">
        <v>144</v>
      </c>
      <c r="D18" s="14" t="s">
        <v>145</v>
      </c>
      <c r="E18" s="14" t="s">
        <v>146</v>
      </c>
      <c r="F18" s="14" t="s">
        <v>147</v>
      </c>
      <c r="G18" s="14" t="s">
        <v>148</v>
      </c>
      <c r="H18" s="14" t="s">
        <v>149</v>
      </c>
      <c r="I18" s="14" t="s">
        <v>43</v>
      </c>
      <c r="J18" s="14" t="s">
        <v>35</v>
      </c>
      <c r="K18" s="16" t="s">
        <v>44</v>
      </c>
      <c r="L18" s="17"/>
      <c r="M18" s="17"/>
    </row>
    <row r="19" customFormat="false" ht="51.75" hidden="false" customHeight="true" outlineLevel="0" collapsed="false">
      <c r="A19" s="13" t="s">
        <v>130</v>
      </c>
      <c r="B19" s="14" t="s">
        <v>131</v>
      </c>
      <c r="C19" s="15" t="s">
        <v>150</v>
      </c>
      <c r="D19" s="14" t="s">
        <v>151</v>
      </c>
      <c r="E19" s="14" t="s">
        <v>152</v>
      </c>
      <c r="F19" s="14" t="s">
        <v>153</v>
      </c>
      <c r="G19" s="14" t="s">
        <v>154</v>
      </c>
      <c r="H19" s="14" t="s">
        <v>155</v>
      </c>
      <c r="I19" s="14" t="s">
        <v>35</v>
      </c>
      <c r="J19" s="14" t="s">
        <v>58</v>
      </c>
      <c r="K19" s="24" t="s">
        <v>156</v>
      </c>
      <c r="L19" s="17"/>
      <c r="M19" s="17"/>
    </row>
    <row r="20" customFormat="false" ht="51.75" hidden="false" customHeight="true" outlineLevel="0" collapsed="false">
      <c r="A20" s="8" t="s">
        <v>157</v>
      </c>
      <c r="B20" s="9" t="s">
        <v>158</v>
      </c>
      <c r="C20" s="10" t="s">
        <v>159</v>
      </c>
      <c r="D20" s="9" t="s">
        <v>160</v>
      </c>
      <c r="E20" s="9" t="s">
        <v>161</v>
      </c>
      <c r="F20" s="9" t="s">
        <v>162</v>
      </c>
      <c r="G20" s="9" t="s">
        <v>163</v>
      </c>
      <c r="H20" s="9" t="s">
        <v>164</v>
      </c>
      <c r="I20" s="9" t="s">
        <v>43</v>
      </c>
      <c r="J20" s="9" t="s">
        <v>35</v>
      </c>
      <c r="K20" s="23" t="s">
        <v>75</v>
      </c>
      <c r="L20" s="12"/>
      <c r="M20" s="12"/>
    </row>
    <row r="21" customFormat="false" ht="51.75" hidden="false" customHeight="true" outlineLevel="0" collapsed="false">
      <c r="A21" s="13" t="s">
        <v>157</v>
      </c>
      <c r="B21" s="14" t="s">
        <v>158</v>
      </c>
      <c r="C21" s="15" t="s">
        <v>165</v>
      </c>
      <c r="D21" s="14" t="s">
        <v>166</v>
      </c>
      <c r="E21" s="14" t="s">
        <v>167</v>
      </c>
      <c r="F21" s="14" t="s">
        <v>168</v>
      </c>
      <c r="G21" s="14" t="s">
        <v>169</v>
      </c>
      <c r="H21" s="14" t="s">
        <v>170</v>
      </c>
      <c r="I21" s="14" t="s">
        <v>43</v>
      </c>
      <c r="J21" s="14" t="s">
        <v>35</v>
      </c>
      <c r="K21" s="16" t="s">
        <v>44</v>
      </c>
      <c r="L21" s="17"/>
      <c r="M21" s="17"/>
    </row>
    <row r="22" customFormat="false" ht="51.75" hidden="false" customHeight="true" outlineLevel="0" collapsed="false">
      <c r="A22" s="13" t="s">
        <v>157</v>
      </c>
      <c r="B22" s="14" t="s">
        <v>158</v>
      </c>
      <c r="C22" s="15" t="s">
        <v>171</v>
      </c>
      <c r="D22" s="14" t="s">
        <v>172</v>
      </c>
      <c r="E22" s="14" t="s">
        <v>173</v>
      </c>
      <c r="F22" s="14" t="s">
        <v>174</v>
      </c>
      <c r="G22" s="14" t="s">
        <v>175</v>
      </c>
      <c r="H22" s="14" t="s">
        <v>176</v>
      </c>
      <c r="I22" s="14" t="s">
        <v>177</v>
      </c>
      <c r="J22" s="14" t="s">
        <v>58</v>
      </c>
      <c r="K22" s="18" t="s">
        <v>51</v>
      </c>
      <c r="L22" s="17"/>
      <c r="M22" s="17"/>
    </row>
    <row r="23" customFormat="false" ht="51.75" hidden="false" customHeight="true" outlineLevel="0" collapsed="false">
      <c r="A23" s="13" t="s">
        <v>157</v>
      </c>
      <c r="B23" s="14" t="s">
        <v>158</v>
      </c>
      <c r="C23" s="15" t="s">
        <v>178</v>
      </c>
      <c r="D23" s="14" t="s">
        <v>179</v>
      </c>
      <c r="E23" s="14" t="s">
        <v>180</v>
      </c>
      <c r="F23" s="14" t="s">
        <v>181</v>
      </c>
      <c r="G23" s="14" t="s">
        <v>182</v>
      </c>
      <c r="H23" s="14" t="s">
        <v>183</v>
      </c>
      <c r="I23" s="14" t="s">
        <v>35</v>
      </c>
      <c r="J23" s="14" t="s">
        <v>35</v>
      </c>
      <c r="K23" s="16" t="s">
        <v>44</v>
      </c>
      <c r="L23" s="17"/>
      <c r="M23" s="17"/>
    </row>
    <row r="24" customFormat="false" ht="51.75" hidden="false" customHeight="true" outlineLevel="0" collapsed="false">
      <c r="A24" s="13" t="s">
        <v>157</v>
      </c>
      <c r="B24" s="14" t="s">
        <v>158</v>
      </c>
      <c r="C24" s="15" t="s">
        <v>184</v>
      </c>
      <c r="D24" s="14" t="s">
        <v>185</v>
      </c>
      <c r="E24" s="14" t="s">
        <v>186</v>
      </c>
      <c r="F24" s="14" t="s">
        <v>187</v>
      </c>
      <c r="G24" s="14" t="s">
        <v>188</v>
      </c>
      <c r="H24" s="14" t="s">
        <v>189</v>
      </c>
      <c r="I24" s="14" t="s">
        <v>35</v>
      </c>
      <c r="J24" s="14" t="s">
        <v>35</v>
      </c>
      <c r="K24" s="24" t="s">
        <v>156</v>
      </c>
      <c r="L24" s="17"/>
      <c r="M24" s="17"/>
    </row>
    <row r="25" customFormat="false" ht="51.75" hidden="false" customHeight="true" outlineLevel="0" collapsed="false">
      <c r="A25" s="13" t="s">
        <v>157</v>
      </c>
      <c r="B25" s="14" t="s">
        <v>158</v>
      </c>
      <c r="C25" s="15" t="s">
        <v>190</v>
      </c>
      <c r="D25" s="14" t="s">
        <v>191</v>
      </c>
      <c r="E25" s="14" t="s">
        <v>192</v>
      </c>
      <c r="F25" s="14" t="s">
        <v>193</v>
      </c>
      <c r="G25" s="14" t="s">
        <v>194</v>
      </c>
      <c r="H25" s="14" t="s">
        <v>195</v>
      </c>
      <c r="I25" s="14" t="s">
        <v>35</v>
      </c>
      <c r="J25" s="14" t="s">
        <v>35</v>
      </c>
      <c r="K25" s="24" t="s">
        <v>156</v>
      </c>
      <c r="L25" s="17"/>
      <c r="M25" s="17"/>
    </row>
    <row r="26" customFormat="false" ht="51.75" hidden="false" customHeight="true" outlineLevel="0" collapsed="false">
      <c r="A26" s="8" t="s">
        <v>196</v>
      </c>
      <c r="B26" s="9" t="s">
        <v>197</v>
      </c>
      <c r="C26" s="10" t="s">
        <v>198</v>
      </c>
      <c r="D26" s="9" t="s">
        <v>199</v>
      </c>
      <c r="E26" s="9" t="s">
        <v>200</v>
      </c>
      <c r="F26" s="9" t="s">
        <v>201</v>
      </c>
      <c r="G26" s="9" t="s">
        <v>202</v>
      </c>
      <c r="H26" s="9" t="s">
        <v>189</v>
      </c>
      <c r="I26" s="9" t="s">
        <v>109</v>
      </c>
      <c r="J26" s="9" t="s">
        <v>58</v>
      </c>
      <c r="K26" s="23" t="s">
        <v>75</v>
      </c>
      <c r="L26" s="12"/>
      <c r="M26" s="12"/>
    </row>
    <row r="27" customFormat="false" ht="51.75" hidden="false" customHeight="true" outlineLevel="0" collapsed="false">
      <c r="A27" s="13" t="s">
        <v>196</v>
      </c>
      <c r="B27" s="14" t="s">
        <v>197</v>
      </c>
      <c r="C27" s="15" t="s">
        <v>203</v>
      </c>
      <c r="D27" s="14" t="s">
        <v>204</v>
      </c>
      <c r="E27" s="14" t="s">
        <v>205</v>
      </c>
      <c r="F27" s="14" t="s">
        <v>206</v>
      </c>
      <c r="G27" s="14" t="s">
        <v>207</v>
      </c>
      <c r="H27" s="14" t="s">
        <v>208</v>
      </c>
      <c r="I27" s="14" t="s">
        <v>35</v>
      </c>
      <c r="J27" s="14" t="s">
        <v>35</v>
      </c>
      <c r="K27" s="18" t="s">
        <v>82</v>
      </c>
      <c r="L27" s="17"/>
      <c r="M27" s="17"/>
    </row>
    <row r="28" customFormat="false" ht="51.75" hidden="false" customHeight="true" outlineLevel="0" collapsed="false">
      <c r="A28" s="13" t="s">
        <v>196</v>
      </c>
      <c r="B28" s="14" t="s">
        <v>197</v>
      </c>
      <c r="C28" s="15" t="s">
        <v>209</v>
      </c>
      <c r="D28" s="14" t="s">
        <v>210</v>
      </c>
      <c r="E28" s="14" t="s">
        <v>211</v>
      </c>
      <c r="F28" s="14" t="s">
        <v>212</v>
      </c>
      <c r="G28" s="14" t="s">
        <v>213</v>
      </c>
      <c r="H28" s="14" t="s">
        <v>149</v>
      </c>
      <c r="I28" s="14" t="s">
        <v>35</v>
      </c>
      <c r="J28" s="14" t="s">
        <v>35</v>
      </c>
      <c r="K28" s="16" t="s">
        <v>44</v>
      </c>
      <c r="L28" s="17"/>
      <c r="M28" s="17"/>
    </row>
    <row r="29" customFormat="false" ht="51.75" hidden="false" customHeight="true" outlineLevel="0" collapsed="false">
      <c r="A29" s="13" t="s">
        <v>196</v>
      </c>
      <c r="B29" s="14" t="s">
        <v>214</v>
      </c>
      <c r="C29" s="15" t="s">
        <v>215</v>
      </c>
      <c r="D29" s="14" t="s">
        <v>216</v>
      </c>
      <c r="E29" s="14" t="s">
        <v>217</v>
      </c>
      <c r="F29" s="14" t="s">
        <v>218</v>
      </c>
      <c r="G29" s="14" t="s">
        <v>219</v>
      </c>
      <c r="H29" s="14" t="s">
        <v>220</v>
      </c>
      <c r="I29" s="14" t="s">
        <v>43</v>
      </c>
      <c r="J29" s="14" t="s">
        <v>35</v>
      </c>
      <c r="K29" s="24" t="s">
        <v>75</v>
      </c>
      <c r="L29" s="17"/>
      <c r="M29" s="17"/>
    </row>
    <row r="30" customFormat="false" ht="51.75" hidden="false" customHeight="true" outlineLevel="0" collapsed="false">
      <c r="A30" s="13" t="s">
        <v>196</v>
      </c>
      <c r="B30" s="14" t="s">
        <v>214</v>
      </c>
      <c r="C30" s="15" t="s">
        <v>221</v>
      </c>
      <c r="D30" s="14" t="s">
        <v>222</v>
      </c>
      <c r="E30" s="14" t="s">
        <v>223</v>
      </c>
      <c r="F30" s="14" t="s">
        <v>224</v>
      </c>
      <c r="G30" s="14" t="s">
        <v>225</v>
      </c>
      <c r="H30" s="14" t="s">
        <v>189</v>
      </c>
      <c r="I30" s="14" t="s">
        <v>35</v>
      </c>
      <c r="J30" s="14" t="s">
        <v>35</v>
      </c>
      <c r="K30" s="24" t="s">
        <v>156</v>
      </c>
      <c r="L30" s="17"/>
      <c r="M30" s="17"/>
    </row>
    <row r="31" customFormat="false" ht="51.75" hidden="false" customHeight="true" outlineLevel="0" collapsed="false">
      <c r="A31" s="13" t="s">
        <v>196</v>
      </c>
      <c r="B31" s="14" t="s">
        <v>214</v>
      </c>
      <c r="C31" s="15" t="s">
        <v>226</v>
      </c>
      <c r="D31" s="14" t="s">
        <v>227</v>
      </c>
      <c r="E31" s="14" t="s">
        <v>228</v>
      </c>
      <c r="F31" s="14" t="s">
        <v>229</v>
      </c>
      <c r="G31" s="14" t="s">
        <v>230</v>
      </c>
      <c r="H31" s="14" t="s">
        <v>231</v>
      </c>
      <c r="I31" s="14" t="s">
        <v>58</v>
      </c>
      <c r="J31" s="14" t="s">
        <v>116</v>
      </c>
      <c r="K31" s="18" t="s">
        <v>51</v>
      </c>
      <c r="L31" s="17"/>
      <c r="M31" s="17"/>
    </row>
    <row r="32" customFormat="false" ht="51.75" hidden="false" customHeight="true" outlineLevel="0" collapsed="false">
      <c r="A32" s="8" t="s">
        <v>232</v>
      </c>
      <c r="B32" s="9" t="s">
        <v>233</v>
      </c>
      <c r="C32" s="10" t="s">
        <v>234</v>
      </c>
      <c r="D32" s="9" t="s">
        <v>235</v>
      </c>
      <c r="E32" s="9" t="s">
        <v>236</v>
      </c>
      <c r="F32" s="9" t="s">
        <v>237</v>
      </c>
      <c r="G32" s="9" t="s">
        <v>238</v>
      </c>
      <c r="H32" s="9" t="s">
        <v>239</v>
      </c>
      <c r="I32" s="9" t="s">
        <v>35</v>
      </c>
      <c r="J32" s="9" t="s">
        <v>35</v>
      </c>
      <c r="K32" s="23" t="s">
        <v>75</v>
      </c>
      <c r="L32" s="12"/>
      <c r="M32" s="12"/>
    </row>
    <row r="33" customFormat="false" ht="51.75" hidden="false" customHeight="true" outlineLevel="0" collapsed="false">
      <c r="A33" s="13" t="s">
        <v>232</v>
      </c>
      <c r="B33" s="14" t="s">
        <v>233</v>
      </c>
      <c r="C33" s="15" t="s">
        <v>240</v>
      </c>
      <c r="D33" s="14" t="s">
        <v>241</v>
      </c>
      <c r="E33" s="14" t="s">
        <v>242</v>
      </c>
      <c r="F33" s="14" t="s">
        <v>243</v>
      </c>
      <c r="G33" s="14" t="s">
        <v>244</v>
      </c>
      <c r="H33" s="14" t="s">
        <v>245</v>
      </c>
      <c r="I33" s="14" t="s">
        <v>58</v>
      </c>
      <c r="J33" s="14" t="s">
        <v>116</v>
      </c>
      <c r="K33" s="18" t="s">
        <v>82</v>
      </c>
      <c r="L33" s="17"/>
      <c r="M33" s="17"/>
    </row>
    <row r="34" customFormat="false" ht="51.75" hidden="false" customHeight="true" outlineLevel="0" collapsed="false">
      <c r="A34" s="13" t="s">
        <v>232</v>
      </c>
      <c r="B34" s="14" t="s">
        <v>233</v>
      </c>
      <c r="C34" s="15" t="s">
        <v>246</v>
      </c>
      <c r="D34" s="14" t="s">
        <v>247</v>
      </c>
      <c r="E34" s="14" t="s">
        <v>248</v>
      </c>
      <c r="F34" s="14" t="s">
        <v>249</v>
      </c>
      <c r="G34" s="14" t="s">
        <v>250</v>
      </c>
      <c r="H34" s="14" t="s">
        <v>251</v>
      </c>
      <c r="I34" s="14" t="s">
        <v>35</v>
      </c>
      <c r="J34" s="14" t="s">
        <v>35</v>
      </c>
      <c r="K34" s="16" t="s">
        <v>44</v>
      </c>
      <c r="L34" s="17"/>
      <c r="M34" s="17"/>
    </row>
    <row r="35" customFormat="false" ht="51.75" hidden="false" customHeight="true" outlineLevel="0" collapsed="false">
      <c r="A35" s="13" t="s">
        <v>232</v>
      </c>
      <c r="B35" s="14" t="s">
        <v>233</v>
      </c>
      <c r="C35" s="15" t="s">
        <v>252</v>
      </c>
      <c r="D35" s="14" t="s">
        <v>253</v>
      </c>
      <c r="E35" s="14" t="s">
        <v>254</v>
      </c>
      <c r="F35" s="14" t="s">
        <v>255</v>
      </c>
      <c r="G35" s="14" t="s">
        <v>256</v>
      </c>
      <c r="H35" s="14" t="s">
        <v>257</v>
      </c>
      <c r="I35" s="14" t="s">
        <v>58</v>
      </c>
      <c r="J35" s="14" t="s">
        <v>116</v>
      </c>
      <c r="K35" s="16" t="s">
        <v>44</v>
      </c>
      <c r="L35" s="17"/>
      <c r="M35" s="17"/>
    </row>
    <row r="36" customFormat="false" ht="51.75" hidden="false" customHeight="true" outlineLevel="0" collapsed="false">
      <c r="A36" s="13" t="s">
        <v>232</v>
      </c>
      <c r="B36" s="14" t="s">
        <v>258</v>
      </c>
      <c r="C36" s="15" t="s">
        <v>259</v>
      </c>
      <c r="D36" s="14" t="s">
        <v>260</v>
      </c>
      <c r="E36" s="14" t="s">
        <v>261</v>
      </c>
      <c r="F36" s="14" t="s">
        <v>262</v>
      </c>
      <c r="G36" s="14" t="s">
        <v>263</v>
      </c>
      <c r="H36" s="14" t="s">
        <v>81</v>
      </c>
      <c r="I36" s="14" t="s">
        <v>43</v>
      </c>
      <c r="J36" s="14" t="s">
        <v>35</v>
      </c>
      <c r="K36" s="24" t="s">
        <v>75</v>
      </c>
      <c r="L36" s="17"/>
      <c r="M36" s="17"/>
    </row>
    <row r="37" customFormat="false" ht="51.75" hidden="false" customHeight="true" outlineLevel="0" collapsed="false">
      <c r="A37" s="13" t="s">
        <v>232</v>
      </c>
      <c r="B37" s="14" t="s">
        <v>258</v>
      </c>
      <c r="C37" s="15" t="s">
        <v>264</v>
      </c>
      <c r="D37" s="14" t="s">
        <v>265</v>
      </c>
      <c r="E37" s="14" t="s">
        <v>266</v>
      </c>
      <c r="F37" s="14" t="s">
        <v>267</v>
      </c>
      <c r="G37" s="14" t="s">
        <v>268</v>
      </c>
      <c r="H37" s="14" t="s">
        <v>269</v>
      </c>
      <c r="I37" s="14" t="s">
        <v>58</v>
      </c>
      <c r="J37" s="14" t="s">
        <v>116</v>
      </c>
      <c r="K37" s="18" t="s">
        <v>51</v>
      </c>
      <c r="L37" s="17"/>
      <c r="M37" s="17"/>
    </row>
    <row r="38" customFormat="false" ht="51.75" hidden="false" customHeight="true" outlineLevel="0" collapsed="false">
      <c r="A38" s="8" t="s">
        <v>270</v>
      </c>
      <c r="B38" s="9" t="s">
        <v>271</v>
      </c>
      <c r="C38" s="10" t="s">
        <v>272</v>
      </c>
      <c r="D38" s="9" t="s">
        <v>273</v>
      </c>
      <c r="E38" s="9" t="s">
        <v>274</v>
      </c>
      <c r="F38" s="9" t="s">
        <v>275</v>
      </c>
      <c r="G38" s="9" t="s">
        <v>276</v>
      </c>
      <c r="H38" s="9" t="s">
        <v>277</v>
      </c>
      <c r="I38" s="9" t="s">
        <v>43</v>
      </c>
      <c r="J38" s="9" t="s">
        <v>35</v>
      </c>
      <c r="K38" s="23" t="s">
        <v>75</v>
      </c>
      <c r="L38" s="12"/>
      <c r="M38" s="12"/>
    </row>
    <row r="39" customFormat="false" ht="51.75" hidden="false" customHeight="true" outlineLevel="0" collapsed="false">
      <c r="A39" s="13" t="s">
        <v>270</v>
      </c>
      <c r="B39" s="14" t="s">
        <v>271</v>
      </c>
      <c r="C39" s="15" t="s">
        <v>278</v>
      </c>
      <c r="D39" s="14" t="s">
        <v>279</v>
      </c>
      <c r="E39" s="14" t="s">
        <v>280</v>
      </c>
      <c r="F39" s="14" t="s">
        <v>281</v>
      </c>
      <c r="G39" s="14" t="s">
        <v>282</v>
      </c>
      <c r="H39" s="14" t="s">
        <v>283</v>
      </c>
      <c r="I39" s="14" t="s">
        <v>116</v>
      </c>
      <c r="J39" s="14" t="s">
        <v>116</v>
      </c>
      <c r="K39" s="18" t="s">
        <v>51</v>
      </c>
      <c r="L39" s="17"/>
      <c r="M39" s="17"/>
    </row>
    <row r="40" customFormat="false" ht="22.35" hidden="false" customHeight="false" outlineLevel="0" collapsed="false">
      <c r="A40" s="13" t="s">
        <v>270</v>
      </c>
      <c r="B40" s="14" t="s">
        <v>271</v>
      </c>
      <c r="C40" s="15" t="s">
        <v>284</v>
      </c>
      <c r="D40" s="14" t="s">
        <v>285</v>
      </c>
      <c r="E40" s="14" t="s">
        <v>286</v>
      </c>
      <c r="F40" s="14" t="s">
        <v>287</v>
      </c>
      <c r="G40" s="14" t="s">
        <v>288</v>
      </c>
      <c r="H40" s="14" t="s">
        <v>289</v>
      </c>
      <c r="I40" s="14" t="s">
        <v>58</v>
      </c>
      <c r="J40" s="14" t="s">
        <v>58</v>
      </c>
      <c r="K40" s="18" t="s">
        <v>51</v>
      </c>
      <c r="L40" s="17"/>
      <c r="M40" s="17"/>
    </row>
    <row r="41" customFormat="false" ht="15" hidden="false" customHeight="true" outlineLevel="0" collapsed="false"/>
    <row r="42" customFormat="false" ht="15" hidden="false" customHeight="false" outlineLevel="0" collapsed="false">
      <c r="B42" s="25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8" min="3" style="1" width="15"/>
  </cols>
  <sheetData>
    <row r="1" customFormat="false" ht="15" hidden="false" customHeight="true" outlineLevel="0" collapsed="false">
      <c r="B1" s="26" t="s">
        <v>291</v>
      </c>
    </row>
    <row r="3" customFormat="false" ht="15" hidden="false" customHeight="true" outlineLevel="0" collapsed="false">
      <c r="B3" s="27" t="s">
        <v>292</v>
      </c>
    </row>
    <row r="4" customFormat="false" ht="30" hidden="false" customHeight="true" outlineLevel="0" collapsed="false">
      <c r="B4" s="28" t="s">
        <v>17</v>
      </c>
      <c r="C4" s="29" t="s">
        <v>293</v>
      </c>
      <c r="D4" s="29" t="s">
        <v>294</v>
      </c>
      <c r="E4" s="29" t="s">
        <v>295</v>
      </c>
      <c r="F4" s="29" t="s">
        <v>296</v>
      </c>
      <c r="G4" s="29" t="s">
        <v>297</v>
      </c>
      <c r="H4" s="29" t="s">
        <v>298</v>
      </c>
    </row>
    <row r="5" customFormat="false" ht="15" hidden="false" customHeight="true" outlineLevel="0" collapsed="false">
      <c r="B5" s="30" t="s">
        <v>299</v>
      </c>
      <c r="C5" s="31" t="n">
        <v>0.3</v>
      </c>
      <c r="D5" s="31" t="n">
        <v>0.2</v>
      </c>
      <c r="E5" s="31" t="n">
        <v>0.2</v>
      </c>
      <c r="F5" s="31" t="n">
        <v>0.15</v>
      </c>
      <c r="G5" s="31" t="n">
        <v>0.15</v>
      </c>
      <c r="H5" s="32" t="n">
        <f aca="false">SUM(C5:G5)</f>
        <v>1</v>
      </c>
    </row>
    <row r="6" customFormat="false" ht="25.5" hidden="false" customHeight="true" outlineLevel="0" collapsed="false">
      <c r="B6" s="14" t="s">
        <v>300</v>
      </c>
      <c r="C6" s="33" t="n">
        <v>3</v>
      </c>
      <c r="D6" s="33" t="n">
        <v>4</v>
      </c>
      <c r="E6" s="33" t="n">
        <v>5</v>
      </c>
      <c r="F6" s="33" t="n">
        <v>5</v>
      </c>
      <c r="G6" s="33" t="n">
        <v>5</v>
      </c>
      <c r="H6" s="32" t="n">
        <f aca="false">SUMPRODUCT(C6:G6,$C$5:$G$5)</f>
        <v>4.2</v>
      </c>
    </row>
    <row r="7" customFormat="false" ht="25.5" hidden="false" customHeight="true" outlineLevel="0" collapsed="false">
      <c r="B7" s="14" t="s">
        <v>301</v>
      </c>
      <c r="C7" s="33" t="n">
        <v>5</v>
      </c>
      <c r="D7" s="33" t="n">
        <v>4</v>
      </c>
      <c r="E7" s="33" t="n">
        <v>3</v>
      </c>
      <c r="F7" s="33" t="n">
        <v>4</v>
      </c>
      <c r="G7" s="33" t="n">
        <v>4</v>
      </c>
      <c r="H7" s="32" t="n">
        <f aca="false">SUMPRODUCT(C7:G7,$C$5:$G$5)</f>
        <v>4.1</v>
      </c>
    </row>
    <row r="8" customFormat="false" ht="25.5" hidden="false" customHeight="true" outlineLevel="0" collapsed="false">
      <c r="B8" s="14" t="s">
        <v>302</v>
      </c>
      <c r="C8" s="33" t="n">
        <v>4</v>
      </c>
      <c r="D8" s="33" t="n">
        <v>3</v>
      </c>
      <c r="E8" s="33" t="n">
        <v>2</v>
      </c>
      <c r="F8" s="33" t="n">
        <v>2</v>
      </c>
      <c r="G8" s="33" t="n">
        <v>3</v>
      </c>
      <c r="H8" s="32" t="n">
        <f aca="false">SUMPRODUCT(C8:G8,$C$5:$G$5)</f>
        <v>2.95</v>
      </c>
    </row>
    <row r="9" customFormat="false" ht="25.5" hidden="false" customHeight="true" outlineLevel="0" collapsed="false">
      <c r="B9" s="14" t="s">
        <v>303</v>
      </c>
      <c r="C9" s="33" t="n">
        <v>5</v>
      </c>
      <c r="D9" s="33" t="n">
        <v>4</v>
      </c>
      <c r="E9" s="33" t="n">
        <v>2</v>
      </c>
      <c r="F9" s="33" t="n">
        <v>2</v>
      </c>
      <c r="G9" s="33" t="n">
        <v>3</v>
      </c>
      <c r="H9" s="32" t="n">
        <f aca="false">SUMPRODUCT(C9:G9,$C$5:$G$5)</f>
        <v>3.45</v>
      </c>
    </row>
    <row r="10" customFormat="false" ht="25.5" hidden="false" customHeight="true" outlineLevel="0" collapsed="false">
      <c r="B10" s="14" t="s">
        <v>304</v>
      </c>
      <c r="C10" s="33" t="n">
        <v>4</v>
      </c>
      <c r="D10" s="33" t="n">
        <v>4</v>
      </c>
      <c r="E10" s="33" t="n">
        <v>3</v>
      </c>
      <c r="F10" s="33" t="n">
        <v>4</v>
      </c>
      <c r="G10" s="33" t="n">
        <v>3</v>
      </c>
      <c r="H10" s="32" t="n">
        <f aca="false">SUMPRODUCT(C10:G10,$C$5:$G$5)</f>
        <v>3.65</v>
      </c>
    </row>
    <row r="13" customFormat="false" ht="15" hidden="false" customHeight="true" outlineLevel="0" collapsed="false">
      <c r="B13" s="27" t="s">
        <v>305</v>
      </c>
    </row>
    <row r="14" customFormat="false" ht="30" hidden="false" customHeight="true" outlineLevel="0" collapsed="false">
      <c r="B14" s="28" t="s">
        <v>17</v>
      </c>
      <c r="C14" s="29" t="s">
        <v>293</v>
      </c>
      <c r="D14" s="29" t="s">
        <v>294</v>
      </c>
      <c r="E14" s="29" t="s">
        <v>295</v>
      </c>
      <c r="F14" s="29" t="s">
        <v>296</v>
      </c>
      <c r="G14" s="29" t="s">
        <v>297</v>
      </c>
      <c r="H14" s="29" t="s">
        <v>298</v>
      </c>
    </row>
    <row r="15" customFormat="false" ht="15" hidden="false" customHeight="true" outlineLevel="0" collapsed="false">
      <c r="B15" s="30" t="s">
        <v>299</v>
      </c>
      <c r="C15" s="31" t="n">
        <v>0.3</v>
      </c>
      <c r="D15" s="31" t="n">
        <v>0.2</v>
      </c>
      <c r="E15" s="31" t="n">
        <v>0.2</v>
      </c>
      <c r="F15" s="31" t="n">
        <v>0.15</v>
      </c>
      <c r="G15" s="31" t="n">
        <v>0.15</v>
      </c>
      <c r="H15" s="32" t="n">
        <f aca="false">SUM(C15:G15)</f>
        <v>1</v>
      </c>
    </row>
    <row r="16" customFormat="false" ht="25.5" hidden="false" customHeight="true" outlineLevel="0" collapsed="false">
      <c r="B16" s="14" t="s">
        <v>306</v>
      </c>
      <c r="C16" s="33" t="n">
        <v>4</v>
      </c>
      <c r="D16" s="33" t="n">
        <v>5</v>
      </c>
      <c r="E16" s="33" t="n">
        <v>5</v>
      </c>
      <c r="F16" s="33" t="n">
        <v>5</v>
      </c>
      <c r="G16" s="33" t="n">
        <v>5</v>
      </c>
      <c r="H16" s="32" t="n">
        <f aca="false">SUMPRODUCT(C16:G16,$C$15:$G$15)</f>
        <v>4.7</v>
      </c>
    </row>
    <row r="17" customFormat="false" ht="25.5" hidden="false" customHeight="true" outlineLevel="0" collapsed="false">
      <c r="B17" s="14" t="s">
        <v>307</v>
      </c>
      <c r="C17" s="33" t="n">
        <v>2</v>
      </c>
      <c r="D17" s="33" t="n">
        <v>5</v>
      </c>
      <c r="E17" s="33" t="n">
        <v>5</v>
      </c>
      <c r="F17" s="33" t="n">
        <v>3</v>
      </c>
      <c r="G17" s="33" t="n">
        <v>5</v>
      </c>
      <c r="H17" s="32" t="n">
        <f aca="false">SUMPRODUCT(C17:G17,$C$15:$G$15)</f>
        <v>3.8</v>
      </c>
    </row>
    <row r="18" customFormat="false" ht="25.5" hidden="false" customHeight="true" outlineLevel="0" collapsed="false">
      <c r="B18" s="14" t="s">
        <v>308</v>
      </c>
      <c r="C18" s="33" t="n">
        <v>5</v>
      </c>
      <c r="D18" s="33" t="n">
        <v>4</v>
      </c>
      <c r="E18" s="33" t="n">
        <v>3</v>
      </c>
      <c r="F18" s="33" t="n">
        <v>3</v>
      </c>
      <c r="G18" s="33" t="n">
        <v>3</v>
      </c>
      <c r="H18" s="32" t="n">
        <f aca="false">SUMPRODUCT(C18:G18,$C$15:$G$15)</f>
        <v>3.8</v>
      </c>
    </row>
    <row r="19" customFormat="false" ht="25.5" hidden="false" customHeight="true" outlineLevel="0" collapsed="false">
      <c r="B19" s="14" t="s">
        <v>309</v>
      </c>
      <c r="C19" s="33" t="n">
        <v>2</v>
      </c>
      <c r="D19" s="33" t="n">
        <v>5</v>
      </c>
      <c r="E19" s="33" t="n">
        <v>4</v>
      </c>
      <c r="F19" s="33" t="n">
        <v>4</v>
      </c>
      <c r="G19" s="33" t="n">
        <v>5</v>
      </c>
      <c r="H19" s="32" t="n">
        <f aca="false">SUMPRODUCT(C19:G19,$C$15:$G$15)</f>
        <v>3.75</v>
      </c>
    </row>
    <row r="22" customFormat="false" ht="15" hidden="false" customHeight="true" outlineLevel="0" collapsed="false">
      <c r="B22" s="27" t="s">
        <v>310</v>
      </c>
    </row>
    <row r="23" customFormat="false" ht="30" hidden="false" customHeight="true" outlineLevel="0" collapsed="false">
      <c r="B23" s="28" t="s">
        <v>17</v>
      </c>
      <c r="C23" s="29" t="s">
        <v>293</v>
      </c>
      <c r="D23" s="29" t="s">
        <v>294</v>
      </c>
      <c r="E23" s="29" t="s">
        <v>295</v>
      </c>
      <c r="F23" s="29" t="s">
        <v>296</v>
      </c>
      <c r="G23" s="29" t="s">
        <v>297</v>
      </c>
      <c r="H23" s="29" t="s">
        <v>298</v>
      </c>
    </row>
    <row r="24" customFormat="false" ht="15" hidden="false" customHeight="true" outlineLevel="0" collapsed="false">
      <c r="B24" s="30" t="s">
        <v>299</v>
      </c>
      <c r="C24" s="31" t="n">
        <v>0.3</v>
      </c>
      <c r="D24" s="31" t="n">
        <v>0.2</v>
      </c>
      <c r="E24" s="31" t="n">
        <v>0.2</v>
      </c>
      <c r="F24" s="31" t="n">
        <v>0.15</v>
      </c>
      <c r="G24" s="31" t="n">
        <v>0.15</v>
      </c>
      <c r="H24" s="32" t="n">
        <f aca="false">SUM(C24:G24)</f>
        <v>1</v>
      </c>
    </row>
    <row r="25" customFormat="false" ht="25.5" hidden="false" customHeight="true" outlineLevel="0" collapsed="false">
      <c r="B25" s="14" t="s">
        <v>311</v>
      </c>
      <c r="C25" s="33" t="n">
        <v>5</v>
      </c>
      <c r="D25" s="33" t="n">
        <v>5</v>
      </c>
      <c r="E25" s="33" t="n">
        <v>4</v>
      </c>
      <c r="F25" s="33" t="n">
        <v>3</v>
      </c>
      <c r="G25" s="33" t="n">
        <v>4</v>
      </c>
      <c r="H25" s="32" t="n">
        <f aca="false">SUMPRODUCT(C25:G25,$C$24:$G$24)</f>
        <v>4.35</v>
      </c>
    </row>
    <row r="26" customFormat="false" ht="25.5" hidden="false" customHeight="true" outlineLevel="0" collapsed="false">
      <c r="B26" s="14" t="s">
        <v>312</v>
      </c>
      <c r="C26" s="33" t="n">
        <v>3</v>
      </c>
      <c r="D26" s="33" t="n">
        <v>5</v>
      </c>
      <c r="E26" s="33" t="n">
        <v>5</v>
      </c>
      <c r="F26" s="33" t="n">
        <v>4</v>
      </c>
      <c r="G26" s="33" t="n">
        <v>5</v>
      </c>
      <c r="H26" s="32" t="n">
        <f aca="false">SUMPRODUCT(C26:G26,$C$24:$G$24)</f>
        <v>4.25</v>
      </c>
    </row>
    <row r="27" customFormat="false" ht="25.5" hidden="false" customHeight="true" outlineLevel="0" collapsed="false">
      <c r="B27" s="14" t="s">
        <v>313</v>
      </c>
      <c r="C27" s="33" t="n">
        <v>1</v>
      </c>
      <c r="D27" s="33" t="n">
        <v>5</v>
      </c>
      <c r="E27" s="33" t="n">
        <v>5</v>
      </c>
      <c r="F27" s="33" t="n">
        <v>5</v>
      </c>
      <c r="G27" s="33" t="n">
        <v>5</v>
      </c>
      <c r="H27" s="32" t="n">
        <f aca="false">SUMPRODUCT(C27:G27,$C$24:$G$24)</f>
        <v>3.8</v>
      </c>
    </row>
    <row r="30" customFormat="false" ht="15" hidden="false" customHeight="true" outlineLevel="0" collapsed="false">
      <c r="B30" s="27" t="s">
        <v>314</v>
      </c>
    </row>
    <row r="31" customFormat="false" ht="30" hidden="false" customHeight="true" outlineLevel="0" collapsed="false">
      <c r="B31" s="28" t="s">
        <v>17</v>
      </c>
      <c r="C31" s="29" t="s">
        <v>293</v>
      </c>
      <c r="D31" s="29" t="s">
        <v>294</v>
      </c>
      <c r="E31" s="29" t="s">
        <v>295</v>
      </c>
      <c r="F31" s="29" t="s">
        <v>296</v>
      </c>
      <c r="G31" s="29" t="s">
        <v>297</v>
      </c>
      <c r="H31" s="29" t="s">
        <v>298</v>
      </c>
    </row>
    <row r="32" customFormat="false" ht="15" hidden="false" customHeight="true" outlineLevel="0" collapsed="false">
      <c r="B32" s="30" t="s">
        <v>299</v>
      </c>
      <c r="C32" s="31" t="n">
        <v>0.3</v>
      </c>
      <c r="D32" s="31" t="n">
        <v>0.2</v>
      </c>
      <c r="E32" s="31" t="n">
        <v>0.2</v>
      </c>
      <c r="F32" s="31" t="n">
        <v>0.15</v>
      </c>
      <c r="G32" s="31" t="n">
        <v>0.15</v>
      </c>
      <c r="H32" s="32" t="n">
        <f aca="false">SUM(C32:G32)</f>
        <v>1</v>
      </c>
    </row>
    <row r="33" customFormat="false" ht="25.5" hidden="false" customHeight="true" outlineLevel="0" collapsed="false">
      <c r="B33" s="14" t="s">
        <v>315</v>
      </c>
      <c r="C33" s="33" t="n">
        <v>5</v>
      </c>
      <c r="D33" s="33" t="n">
        <v>4</v>
      </c>
      <c r="E33" s="33" t="n">
        <v>5</v>
      </c>
      <c r="F33" s="33" t="n">
        <v>4</v>
      </c>
      <c r="G33" s="33" t="n">
        <v>5</v>
      </c>
      <c r="H33" s="32" t="n">
        <f aca="false">SUMPRODUCT(C33:G33,$C$32:$G$32)</f>
        <v>4.65</v>
      </c>
    </row>
    <row r="34" customFormat="false" ht="25.5" hidden="false" customHeight="true" outlineLevel="0" collapsed="false">
      <c r="B34" s="14" t="s">
        <v>316</v>
      </c>
      <c r="C34" s="33" t="n">
        <v>4</v>
      </c>
      <c r="D34" s="33" t="n">
        <v>5</v>
      </c>
      <c r="E34" s="33" t="n">
        <v>2</v>
      </c>
      <c r="F34" s="33" t="n">
        <v>2</v>
      </c>
      <c r="G34" s="33" t="n">
        <v>3</v>
      </c>
      <c r="H34" s="32" t="n">
        <f aca="false">SUMPRODUCT(C34:G34,$C$32:$G$32)</f>
        <v>3.35</v>
      </c>
    </row>
    <row r="35" customFormat="false" ht="25.5" hidden="false" customHeight="true" outlineLevel="0" collapsed="false">
      <c r="B35" s="14" t="s">
        <v>317</v>
      </c>
      <c r="C35" s="33" t="n">
        <v>1</v>
      </c>
      <c r="D35" s="33" t="n">
        <v>3</v>
      </c>
      <c r="E35" s="33" t="n">
        <v>5</v>
      </c>
      <c r="F35" s="33" t="n">
        <v>5</v>
      </c>
      <c r="G35" s="33" t="n">
        <v>5</v>
      </c>
      <c r="H35" s="32" t="n">
        <f aca="false">SUMPRODUCT(C35:G35,$C$32:$G$32)</f>
        <v>3.4</v>
      </c>
    </row>
    <row r="36" customFormat="false" ht="25.5" hidden="false" customHeight="true" outlineLevel="0" collapsed="false">
      <c r="B36" s="14" t="s">
        <v>318</v>
      </c>
      <c r="C36" s="33" t="n">
        <v>2</v>
      </c>
      <c r="D36" s="33" t="n">
        <v>3</v>
      </c>
      <c r="E36" s="33" t="n">
        <v>3</v>
      </c>
      <c r="F36" s="33" t="n">
        <v>2</v>
      </c>
      <c r="G36" s="33" t="n">
        <v>3</v>
      </c>
      <c r="H36" s="32" t="n">
        <f aca="false">SUMPRODUCT(C36:G36,$C$32:$G$32)</f>
        <v>2.55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34" t="s">
        <v>14</v>
      </c>
      <c r="B1" s="34" t="s">
        <v>319</v>
      </c>
      <c r="C1" s="34" t="s">
        <v>320</v>
      </c>
      <c r="D1" s="34" t="s">
        <v>321</v>
      </c>
    </row>
    <row r="2" customFormat="false" ht="48" hidden="false" customHeight="true" outlineLevel="0" collapsed="false">
      <c r="A2" s="14" t="s">
        <v>27</v>
      </c>
      <c r="B2" s="14" t="s">
        <v>322</v>
      </c>
      <c r="C2" s="24" t="s">
        <v>323</v>
      </c>
      <c r="D2" s="14" t="s">
        <v>324</v>
      </c>
    </row>
    <row r="3" customFormat="false" ht="30" hidden="false" customHeight="true" outlineLevel="0" collapsed="false">
      <c r="A3" s="14" t="s">
        <v>67</v>
      </c>
      <c r="B3" s="14" t="s">
        <v>325</v>
      </c>
      <c r="C3" s="24" t="s">
        <v>69</v>
      </c>
      <c r="D3" s="14" t="s">
        <v>326</v>
      </c>
    </row>
    <row r="4" customFormat="false" ht="48" hidden="false" customHeight="true" outlineLevel="0" collapsed="false">
      <c r="A4" s="14" t="s">
        <v>95</v>
      </c>
      <c r="B4" s="14" t="s">
        <v>327</v>
      </c>
      <c r="C4" s="24" t="s">
        <v>328</v>
      </c>
      <c r="D4" s="14" t="s">
        <v>329</v>
      </c>
    </row>
    <row r="5" customFormat="false" ht="30" hidden="false" customHeight="true" outlineLevel="0" collapsed="false">
      <c r="A5" s="14" t="s">
        <v>130</v>
      </c>
      <c r="B5" s="14" t="s">
        <v>330</v>
      </c>
      <c r="C5" s="24" t="s">
        <v>331</v>
      </c>
      <c r="D5" s="14" t="s">
        <v>332</v>
      </c>
    </row>
    <row r="6" customFormat="false" ht="30" hidden="false" customHeight="true" outlineLevel="0" collapsed="false">
      <c r="A6" s="14" t="s">
        <v>157</v>
      </c>
      <c r="B6" s="14" t="s">
        <v>333</v>
      </c>
      <c r="C6" s="24" t="s">
        <v>334</v>
      </c>
      <c r="D6" s="14" t="s">
        <v>335</v>
      </c>
    </row>
    <row r="7" customFormat="false" ht="30" hidden="false" customHeight="true" outlineLevel="0" collapsed="false">
      <c r="A7" s="14" t="s">
        <v>196</v>
      </c>
      <c r="B7" s="14" t="s">
        <v>336</v>
      </c>
      <c r="C7" s="24" t="s">
        <v>337</v>
      </c>
      <c r="D7" s="14" t="s">
        <v>338</v>
      </c>
    </row>
    <row r="8" customFormat="false" ht="30" hidden="false" customHeight="true" outlineLevel="0" collapsed="false">
      <c r="A8" s="14" t="s">
        <v>232</v>
      </c>
      <c r="B8" s="14" t="s">
        <v>339</v>
      </c>
      <c r="C8" s="24" t="s">
        <v>340</v>
      </c>
      <c r="D8" s="14" t="s">
        <v>341</v>
      </c>
    </row>
    <row r="9" customFormat="false" ht="30" hidden="false" customHeight="true" outlineLevel="0" collapsed="false">
      <c r="A9" s="14" t="s">
        <v>270</v>
      </c>
      <c r="B9" s="14" t="s">
        <v>342</v>
      </c>
      <c r="C9" s="24" t="s">
        <v>272</v>
      </c>
      <c r="D9" s="14" t="s">
        <v>343</v>
      </c>
    </row>
    <row r="11" customFormat="false" ht="15" hidden="false" customHeight="true" outlineLevel="0" collapsed="false">
      <c r="B11" s="3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2026-09-04T09:46:05Z</dcterms:created>
  <dc:creator>openpyxl</dc:creator>
  <dc:description/>
  <dc:language>en-US</dc:language>
  <cp:lastModifiedBy/>
  <dcterms:modified xsi:type="dcterms:W3CDTF">2026-09-05T05:40:17Z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